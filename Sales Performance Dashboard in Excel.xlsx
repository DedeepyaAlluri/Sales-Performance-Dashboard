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edee\Downloads\"/>
    </mc:Choice>
  </mc:AlternateContent>
  <xr:revisionPtr revIDLastSave="0" documentId="13_ncr:1_{1C4203C8-FE47-4039-BFDC-A4B2AF7587EC}" xr6:coauthVersionLast="47" xr6:coauthVersionMax="47" xr10:uidLastSave="{00000000-0000-0000-0000-000000000000}"/>
  <bookViews>
    <workbookView xWindow="-110" yWindow="-110" windowWidth="19420" windowHeight="11500" firstSheet="4" activeTab="4" xr2:uid="{00000000-000D-0000-FFFF-FFFF00000000}"/>
  </bookViews>
  <sheets>
    <sheet name="Product Performance" sheetId="11" state="hidden" r:id="rId1"/>
    <sheet name="Channel Analysis" sheetId="12" state="hidden" r:id="rId2"/>
    <sheet name="Monthly Trend" sheetId="14" state="hidden" r:id="rId3"/>
    <sheet name="Sheet2" sheetId="23" state="hidden" r:id="rId4"/>
    <sheet name="Raw Data" sheetId="1" r:id="rId5"/>
    <sheet name="Sales DashBoard" sheetId="15" r:id="rId6"/>
    <sheet name="Pivot Table" sheetId="21" state="hidden" r:id="rId7"/>
  </sheets>
  <definedNames>
    <definedName name="Slicer_Month">#N/A</definedName>
    <definedName name="Slicer_Product">#N/A</definedName>
    <definedName name="Slicer_Region1">#N/A</definedName>
    <definedName name="Slicer_Year">#N/A</definedName>
  </definedNames>
  <calcPr calcId="191029"/>
  <pivotCaches>
    <pivotCache cacheId="1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alcChain>
</file>

<file path=xl/sharedStrings.xml><?xml version="1.0" encoding="utf-8"?>
<sst xmlns="http://schemas.openxmlformats.org/spreadsheetml/2006/main" count="479" uniqueCount="49">
  <si>
    <t>Date</t>
  </si>
  <si>
    <t>Year</t>
  </si>
  <si>
    <t>Month</t>
  </si>
  <si>
    <t>Region</t>
  </si>
  <si>
    <t>Product</t>
  </si>
  <si>
    <t>Channel</t>
  </si>
  <si>
    <t>UnitsSold</t>
  </si>
  <si>
    <t>CostPerUnit</t>
  </si>
  <si>
    <t>April</t>
  </si>
  <si>
    <t>West</t>
  </si>
  <si>
    <t>Mobile</t>
  </si>
  <si>
    <t>Distributor</t>
  </si>
  <si>
    <t>March</t>
  </si>
  <si>
    <t>North</t>
  </si>
  <si>
    <t>Monitor</t>
  </si>
  <si>
    <t>Online</t>
  </si>
  <si>
    <t>September</t>
  </si>
  <si>
    <t>Laptop</t>
  </si>
  <si>
    <t>Retail</t>
  </si>
  <si>
    <t>December</t>
  </si>
  <si>
    <t>East</t>
  </si>
  <si>
    <t>January</t>
  </si>
  <si>
    <t>Tablet</t>
  </si>
  <si>
    <t>May</t>
  </si>
  <si>
    <t>Headphones</t>
  </si>
  <si>
    <t>August</t>
  </si>
  <si>
    <t>November</t>
  </si>
  <si>
    <t>South</t>
  </si>
  <si>
    <t>October</t>
  </si>
  <si>
    <t>February</t>
  </si>
  <si>
    <t>July</t>
  </si>
  <si>
    <t>June</t>
  </si>
  <si>
    <t>Row Labels</t>
  </si>
  <si>
    <t>Grand Total</t>
  </si>
  <si>
    <t>Sum of Revenue</t>
  </si>
  <si>
    <t>Sum of Profit</t>
  </si>
  <si>
    <t>Product Performance</t>
  </si>
  <si>
    <t xml:space="preserve">               Channel Analysis</t>
  </si>
  <si>
    <t>Monthly Trend</t>
  </si>
  <si>
    <t>Price(₹)</t>
  </si>
  <si>
    <t>Average of Profit</t>
  </si>
  <si>
    <t>Average of UnitsSold</t>
  </si>
  <si>
    <t xml:space="preserve"> Revenue</t>
  </si>
  <si>
    <t>Profits</t>
  </si>
  <si>
    <t>Discount %</t>
  </si>
  <si>
    <t>Revenue</t>
  </si>
  <si>
    <t>Profit</t>
  </si>
  <si>
    <t>profit margin %</t>
  </si>
  <si>
    <t>Average of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</si>
</sst>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00"/>
    <numFmt numFmtId="165" formatCode="_ [$₹-4009]\ * #,##0.00_ ;_ [$₹-4009]\ * \-#,##0.00_ ;_ [$₹-4009]\ * &quot;-&quot;??_ ;_ @_ "/>
    <numFmt numFmtId="166" formatCode="[$-24009]m/d/yyyy;@"/>
  </numFmts>
  <fonts count="7" x14ac:knownFonts="1">
    <font>
      <sz val="11"/>
      <color theme="1"/>
      <name val="Calibri"/>
      <family val="2"/>
      <scheme val="minor"/>
    </font>
    <font>
      <sz val="11"/>
      <color theme="1"/>
      <name val="Calibri"/>
      <family val="2"/>
      <scheme val="minor"/>
    </font>
    <font>
      <sz val="12"/>
      <color theme="1"/>
      <name val="Calibri"/>
      <family val="2"/>
      <scheme val="minor"/>
    </font>
    <font>
      <sz val="14"/>
      <color theme="3" tint="-0.499984740745262"/>
      <name val="Calibri"/>
      <family val="2"/>
      <scheme val="minor"/>
    </font>
    <font>
      <sz val="12"/>
      <color theme="3" tint="-0.499984740745262"/>
      <name val="Calibri"/>
      <family val="2"/>
      <scheme val="minor"/>
    </font>
    <font>
      <sz val="16"/>
      <color theme="1"/>
      <name val="Calibri"/>
      <family val="2"/>
      <scheme val="minor"/>
    </font>
    <font>
      <sz val="16"/>
      <name val="Aptos Narrow"/>
      <family val="2"/>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9" fontId="0" fillId="0" borderId="0" xfId="1" applyFont="1"/>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6" fontId="0" fillId="0" borderId="0" xfId="0" applyNumberFormat="1"/>
    <xf numFmtId="0" fontId="0" fillId="2" borderId="0" xfId="0" applyFill="1"/>
    <xf numFmtId="0" fontId="4" fillId="0" borderId="0" xfId="0" applyFont="1" applyAlignment="1">
      <alignment horizontal="center"/>
    </xf>
    <xf numFmtId="0" fontId="0" fillId="0" borderId="0" xfId="0" applyAlignment="1">
      <alignment horizontal="center"/>
    </xf>
    <xf numFmtId="0" fontId="3" fillId="0" borderId="0" xfId="0" applyFont="1"/>
    <xf numFmtId="0" fontId="0" fillId="0" borderId="0" xfId="0"/>
    <xf numFmtId="0" fontId="5" fillId="0" borderId="0" xfId="0" applyFont="1" applyAlignment="1">
      <alignment horizontal="center"/>
    </xf>
    <xf numFmtId="166" fontId="6" fillId="0" borderId="1" xfId="0" applyNumberFormat="1" applyFont="1" applyBorder="1" applyAlignment="1">
      <alignment horizontal="center" vertical="top"/>
    </xf>
    <xf numFmtId="0" fontId="6" fillId="0" borderId="1" xfId="0" applyFont="1" applyBorder="1" applyAlignment="1">
      <alignment horizontal="center" vertical="top"/>
    </xf>
    <xf numFmtId="1" fontId="6" fillId="0" borderId="1" xfId="0" applyNumberFormat="1" applyFont="1" applyBorder="1" applyAlignment="1">
      <alignment horizontal="center" vertical="top"/>
    </xf>
    <xf numFmtId="9" fontId="6" fillId="0" borderId="1" xfId="1" applyFont="1" applyBorder="1" applyAlignment="1">
      <alignment horizontal="center" vertical="top"/>
    </xf>
    <xf numFmtId="165" fontId="6" fillId="0" borderId="1" xfId="0" applyNumberFormat="1" applyFont="1" applyBorder="1" applyAlignment="1">
      <alignment horizontal="center" vertical="top"/>
    </xf>
    <xf numFmtId="164" fontId="6" fillId="0" borderId="1" xfId="0" applyNumberFormat="1" applyFont="1" applyBorder="1" applyAlignment="1">
      <alignment horizontal="center" vertical="top"/>
    </xf>
    <xf numFmtId="10" fontId="0" fillId="0" borderId="0" xfId="1" applyNumberFormat="1" applyFont="1"/>
    <xf numFmtId="0" fontId="0" fillId="0" borderId="0" xfId="0" applyNumberFormat="1"/>
    <xf numFmtId="10" fontId="0" fillId="0" borderId="0" xfId="0" applyNumberFormat="1"/>
  </cellXfs>
  <cellStyles count="2">
    <cellStyle name="Normal" xfId="0" builtinId="0"/>
    <cellStyle name="Percent" xfId="1" builtinId="5"/>
  </cellStyles>
  <dxfs count="11">
    <dxf>
      <numFmt numFmtId="14" formatCode="0.00%"/>
    </dxf>
    <dxf>
      <font>
        <b val="0"/>
        <i val="0"/>
        <strike val="0"/>
        <condense val="0"/>
        <extend val="0"/>
        <outline val="0"/>
        <shadow val="0"/>
        <u val="none"/>
        <vertAlign val="baseline"/>
        <sz val="16"/>
        <color auto="1"/>
        <name val="Aptos Narrow"/>
        <family val="2"/>
        <scheme val="none"/>
      </font>
      <numFmt numFmtId="164" formatCode="&quot;₹&quot;\ 00,000"/>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 00,000"/>
    </dxf>
    <dxf>
      <numFmt numFmtId="164" formatCode="&quot;₹&quot;\ 00,000"/>
    </dxf>
    <dxf>
      <numFmt numFmtId="164" formatCode="&quot;₹&quot;\ 00,000"/>
    </dxf>
    <dxf>
      <numFmt numFmtId="164" formatCode="&quot;₹&quot;\ 00,000"/>
    </dxf>
    <dxf>
      <font>
        <b val="0"/>
        <i val="0"/>
        <strike val="0"/>
        <condense val="0"/>
        <extend val="0"/>
        <outline val="0"/>
        <shadow val="0"/>
        <u val="none"/>
        <vertAlign val="baseline"/>
        <sz val="11"/>
        <color theme="1"/>
        <name val="Calibri"/>
        <family val="2"/>
        <scheme val="minor"/>
      </font>
    </dxf>
    <dxf>
      <numFmt numFmtId="1" formatCode="0"/>
    </dxf>
    <dxf>
      <numFmt numFmtId="166" formatCode="[$-24009]m/d/yyyy;@"/>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in Excel.xlsx]Monthly Trend!PivotTable5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Trend Over Months</a:t>
            </a:r>
            <a:endParaRPr lang="en-IN"/>
          </a:p>
        </c:rich>
      </c:tx>
      <c:layout>
        <c:manualLayout>
          <c:xMode val="edge"/>
          <c:yMode val="edge"/>
          <c:x val="3.3947603515258984E-4"/>
          <c:y val="1.9140023604431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60870516185478"/>
          <c:y val="0.22120151647710704"/>
          <c:w val="0.52048775153105864"/>
          <c:h val="0.50806576261300673"/>
        </c:manualLayout>
      </c:layout>
      <c:lineChart>
        <c:grouping val="standard"/>
        <c:varyColors val="0"/>
        <c:ser>
          <c:idx val="0"/>
          <c:order val="0"/>
          <c:tx>
            <c:strRef>
              <c:f>'Monthly Trend'!$B$3</c:f>
              <c:strCache>
                <c:ptCount val="1"/>
                <c:pt idx="0">
                  <c:v>Sum of Profit</c:v>
                </c:pt>
              </c:strCache>
            </c:strRef>
          </c:tx>
          <c:spPr>
            <a:ln w="28575" cap="rnd">
              <a:solidFill>
                <a:schemeClr val="accent1"/>
              </a:solidFill>
              <a:round/>
            </a:ln>
            <a:effectLst/>
          </c:spPr>
          <c:marker>
            <c:symbol val="none"/>
          </c:marker>
          <c:cat>
            <c:multiLvlStrRef>
              <c:f>'Monthly Trend'!$A$4:$A$17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2022</c:v>
                  </c:pt>
                </c:lvl>
              </c:multiLvlStrCache>
            </c:multiLvlStrRef>
          </c:cat>
          <c:val>
            <c:numRef>
              <c:f>'Monthly Trend'!$B$4:$B$17</c:f>
              <c:numCache>
                <c:formatCode>"₹"\ 00,000</c:formatCode>
                <c:ptCount val="12"/>
                <c:pt idx="0">
                  <c:v>4444086.16</c:v>
                </c:pt>
                <c:pt idx="1">
                  <c:v>1710150.71</c:v>
                </c:pt>
                <c:pt idx="2">
                  <c:v>2470400.2000000002</c:v>
                </c:pt>
                <c:pt idx="3">
                  <c:v>406054.28999999911</c:v>
                </c:pt>
                <c:pt idx="4">
                  <c:v>3397185.76</c:v>
                </c:pt>
                <c:pt idx="5">
                  <c:v>2199672.7600000002</c:v>
                </c:pt>
                <c:pt idx="6">
                  <c:v>9654001.5399999991</c:v>
                </c:pt>
                <c:pt idx="7">
                  <c:v>-262952.22999999952</c:v>
                </c:pt>
                <c:pt idx="8">
                  <c:v>4733465.74</c:v>
                </c:pt>
                <c:pt idx="9">
                  <c:v>-13438.389999999898</c:v>
                </c:pt>
                <c:pt idx="10">
                  <c:v>3412529.8299999991</c:v>
                </c:pt>
                <c:pt idx="11">
                  <c:v>42101.989999999991</c:v>
                </c:pt>
              </c:numCache>
            </c:numRef>
          </c:val>
          <c:smooth val="0"/>
          <c:extLst>
            <c:ext xmlns:c16="http://schemas.microsoft.com/office/drawing/2014/chart" uri="{C3380CC4-5D6E-409C-BE32-E72D297353CC}">
              <c16:uniqueId val="{00000000-E752-41E5-A35C-E5F620D12636}"/>
            </c:ext>
          </c:extLst>
        </c:ser>
        <c:ser>
          <c:idx val="1"/>
          <c:order val="1"/>
          <c:tx>
            <c:strRef>
              <c:f>'Monthly Trend'!$C$3</c:f>
              <c:strCache>
                <c:ptCount val="1"/>
                <c:pt idx="0">
                  <c:v>Sum of Revenue</c:v>
                </c:pt>
              </c:strCache>
            </c:strRef>
          </c:tx>
          <c:spPr>
            <a:ln w="28575" cap="rnd">
              <a:solidFill>
                <a:schemeClr val="accent2"/>
              </a:solidFill>
              <a:round/>
            </a:ln>
            <a:effectLst/>
          </c:spPr>
          <c:marker>
            <c:symbol val="none"/>
          </c:marker>
          <c:cat>
            <c:multiLvlStrRef>
              <c:f>'Monthly Trend'!$A$4:$A$17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2022</c:v>
                  </c:pt>
                </c:lvl>
              </c:multiLvlStrCache>
            </c:multiLvlStrRef>
          </c:cat>
          <c:val>
            <c:numRef>
              <c:f>'Monthly Trend'!$C$4:$C$17</c:f>
              <c:numCache>
                <c:formatCode>"₹"\ 00,000</c:formatCode>
                <c:ptCount val="12"/>
                <c:pt idx="0">
                  <c:v>15820820.16</c:v>
                </c:pt>
                <c:pt idx="1">
                  <c:v>11886856.710000001</c:v>
                </c:pt>
                <c:pt idx="2">
                  <c:v>11597600.200000001</c:v>
                </c:pt>
                <c:pt idx="3">
                  <c:v>16709640.290000001</c:v>
                </c:pt>
                <c:pt idx="4">
                  <c:v>10366626.76</c:v>
                </c:pt>
                <c:pt idx="5">
                  <c:v>12996668.760000002</c:v>
                </c:pt>
                <c:pt idx="6">
                  <c:v>14929418.539999999</c:v>
                </c:pt>
                <c:pt idx="7">
                  <c:v>11064012.770000003</c:v>
                </c:pt>
                <c:pt idx="8">
                  <c:v>18081464.740000002</c:v>
                </c:pt>
                <c:pt idx="9">
                  <c:v>12070950.609999999</c:v>
                </c:pt>
                <c:pt idx="10">
                  <c:v>13263538.83</c:v>
                </c:pt>
                <c:pt idx="11">
                  <c:v>5366326.99</c:v>
                </c:pt>
              </c:numCache>
            </c:numRef>
          </c:val>
          <c:smooth val="0"/>
          <c:extLst>
            <c:ext xmlns:c16="http://schemas.microsoft.com/office/drawing/2014/chart" uri="{C3380CC4-5D6E-409C-BE32-E72D297353CC}">
              <c16:uniqueId val="{00000001-E752-41E5-A35C-E5F620D12636}"/>
            </c:ext>
          </c:extLst>
        </c:ser>
        <c:dLbls>
          <c:showLegendKey val="0"/>
          <c:showVal val="0"/>
          <c:showCatName val="0"/>
          <c:showSerName val="0"/>
          <c:showPercent val="0"/>
          <c:showBubbleSize val="0"/>
        </c:dLbls>
        <c:smooth val="0"/>
        <c:axId val="1364500383"/>
        <c:axId val="1364497503"/>
      </c:lineChart>
      <c:catAx>
        <c:axId val="1364500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tx2">
                        <a:lumMod val="50000"/>
                      </a:schemeClr>
                    </a:solidFill>
                  </a:rPr>
                  <a:t>Month</a:t>
                </a:r>
              </a:p>
            </c:rich>
          </c:tx>
          <c:layout>
            <c:manualLayout>
              <c:xMode val="edge"/>
              <c:yMode val="edge"/>
              <c:x val="0.36851730604391614"/>
              <c:y val="0.87367951341662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497503"/>
        <c:crosses val="autoZero"/>
        <c:auto val="1"/>
        <c:lblAlgn val="ctr"/>
        <c:lblOffset val="100"/>
        <c:noMultiLvlLbl val="0"/>
      </c:catAx>
      <c:valAx>
        <c:axId val="1364497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tx2">
                        <a:lumMod val="50000"/>
                      </a:schemeClr>
                    </a:solidFill>
                  </a:rPr>
                  <a:t>Value</a:t>
                </a:r>
                <a:r>
                  <a:rPr lang="en-IN" sz="1200" baseline="0">
                    <a:solidFill>
                      <a:schemeClr val="tx2">
                        <a:lumMod val="50000"/>
                      </a:schemeClr>
                    </a:solidFill>
                  </a:rPr>
                  <a:t> of Revenue Or Profit</a:t>
                </a:r>
                <a:endParaRPr lang="en-IN" sz="1200">
                  <a:solidFill>
                    <a:schemeClr val="tx2">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00383"/>
        <c:crosses val="autoZero"/>
        <c:crossBetween val="between"/>
      </c:valAx>
      <c:spPr>
        <a:noFill/>
        <a:ln>
          <a:noFill/>
        </a:ln>
        <a:effectLst/>
      </c:spPr>
    </c:plotArea>
    <c:legend>
      <c:legendPos val="r"/>
      <c:layout>
        <c:manualLayout>
          <c:xMode val="edge"/>
          <c:yMode val="edge"/>
          <c:x val="0.68774610452174489"/>
          <c:y val="2.7889869471014111E-2"/>
          <c:w val="0.27069902654573241"/>
          <c:h val="0.197977911404400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in Excel.xlsx]Channel Analysis!PivotTable3</c:name>
    <c:fmtId val="1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400" b="0" i="0" u="none" strike="noStrike" cap="none" baseline="0"/>
              <a:t>Channel-Wise Contribution to Total Sales</a:t>
            </a:r>
            <a:endParaRPr lang="en-IN"/>
          </a:p>
        </c:rich>
      </c:tx>
      <c:layout>
        <c:manualLayout>
          <c:xMode val="edge"/>
          <c:yMode val="edge"/>
          <c:x val="2.9851947551383536E-2"/>
          <c:y val="3.684210526315789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4.5178105994787145E-2"/>
              <c:y val="-4.629629629629629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4326672458731602E-2"/>
              <c:y val="3.703703703703703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0851433536055668E-2"/>
              <c:y val="1.8226888305628463E-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4326672458731602E-2"/>
              <c:y val="3.703703703703703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0851433536055668E-2"/>
              <c:y val="1.8226888305628463E-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4.5178105994787145E-2"/>
              <c:y val="-4.629629629629629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4326672458731602E-2"/>
              <c:y val="3.703703703703703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0851433536055668E-2"/>
              <c:y val="1.8226888305628463E-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4.5178105994787145E-2"/>
              <c:y val="-4.629629629629629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24923180376769"/>
          <c:y val="0.18506831497933995"/>
          <c:w val="0.45609476446658653"/>
          <c:h val="0.78358170828681029"/>
        </c:manualLayout>
      </c:layout>
      <c:doughnutChart>
        <c:varyColors val="1"/>
        <c:ser>
          <c:idx val="0"/>
          <c:order val="0"/>
          <c:tx>
            <c:strRef>
              <c:f>'Channel Analysis'!$B$3</c:f>
              <c:strCache>
                <c:ptCount val="1"/>
                <c:pt idx="0">
                  <c:v>Sum of Revenue</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AB87-4777-8DA3-C481CF8E6A45}"/>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AB87-4777-8DA3-C481CF8E6A45}"/>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AB87-4777-8DA3-C481CF8E6A45}"/>
              </c:ext>
            </c:extLst>
          </c:dPt>
          <c:dLbls>
            <c:dLbl>
              <c:idx val="0"/>
              <c:layout>
                <c:manualLayout>
                  <c:x val="-2.4326672458731602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87-4777-8DA3-C481CF8E6A45}"/>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'Channel Analysis'!$A$4:$A$7</c:f>
              <c:strCache>
                <c:ptCount val="3"/>
                <c:pt idx="0">
                  <c:v>Distributor</c:v>
                </c:pt>
                <c:pt idx="1">
                  <c:v>Online</c:v>
                </c:pt>
                <c:pt idx="2">
                  <c:v>Retail</c:v>
                </c:pt>
              </c:strCache>
            </c:strRef>
          </c:cat>
          <c:val>
            <c:numRef>
              <c:f>'Channel Analysis'!$B$4:$B$7</c:f>
              <c:numCache>
                <c:formatCode>"₹"\ 00,000</c:formatCode>
                <c:ptCount val="3"/>
                <c:pt idx="0">
                  <c:v>51617501.130000003</c:v>
                </c:pt>
                <c:pt idx="1">
                  <c:v>52232859.839999996</c:v>
                </c:pt>
                <c:pt idx="2">
                  <c:v>50303564.390000001</c:v>
                </c:pt>
              </c:numCache>
            </c:numRef>
          </c:val>
          <c:extLst>
            <c:ext xmlns:c16="http://schemas.microsoft.com/office/drawing/2014/chart" uri="{C3380CC4-5D6E-409C-BE32-E72D297353CC}">
              <c16:uniqueId val="{00000006-AB87-4777-8DA3-C481CF8E6A45}"/>
            </c:ext>
          </c:extLst>
        </c:ser>
        <c:ser>
          <c:idx val="1"/>
          <c:order val="1"/>
          <c:tx>
            <c:strRef>
              <c:f>'Channel Analysis'!$C$3</c:f>
              <c:strCache>
                <c:ptCount val="1"/>
                <c:pt idx="0">
                  <c:v>Sum of Profit</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8-AB87-4777-8DA3-C481CF8E6A45}"/>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A-AB87-4777-8DA3-C481CF8E6A45}"/>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C-AB87-4777-8DA3-C481CF8E6A45}"/>
              </c:ext>
            </c:extLst>
          </c:dPt>
          <c:dLbls>
            <c:dLbl>
              <c:idx val="0"/>
              <c:layout>
                <c:manualLayout>
                  <c:x val="2.0851433536055668E-2"/>
                  <c:y val="1.8226888305628463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87-4777-8DA3-C481CF8E6A45}"/>
                </c:ext>
              </c:extLst>
            </c:dLbl>
            <c:dLbl>
              <c:idx val="2"/>
              <c:layout>
                <c:manualLayout>
                  <c:x val="-4.517810599478714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B87-4777-8DA3-C481CF8E6A45}"/>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'Channel Analysis'!$A$4:$A$7</c:f>
              <c:strCache>
                <c:ptCount val="3"/>
                <c:pt idx="0">
                  <c:v>Distributor</c:v>
                </c:pt>
                <c:pt idx="1">
                  <c:v>Online</c:v>
                </c:pt>
                <c:pt idx="2">
                  <c:v>Retail</c:v>
                </c:pt>
              </c:strCache>
            </c:strRef>
          </c:cat>
          <c:val>
            <c:numRef>
              <c:f>'Channel Analysis'!$C$4:$C$7</c:f>
              <c:numCache>
                <c:formatCode>"₹"\ 00,000</c:formatCode>
                <c:ptCount val="3"/>
                <c:pt idx="0">
                  <c:v>9308732.129999999</c:v>
                </c:pt>
                <c:pt idx="1">
                  <c:v>14476232.839999998</c:v>
                </c:pt>
                <c:pt idx="2">
                  <c:v>8408293.3900000043</c:v>
                </c:pt>
              </c:numCache>
            </c:numRef>
          </c:val>
          <c:extLst>
            <c:ext xmlns:c16="http://schemas.microsoft.com/office/drawing/2014/chart" uri="{C3380CC4-5D6E-409C-BE32-E72D297353CC}">
              <c16:uniqueId val="{0000000D-AB87-4777-8DA3-C481CF8E6A4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710831323589712"/>
          <c:y val="4.7322625320632687E-2"/>
          <c:w val="0.22109305241131749"/>
          <c:h val="0.342336101261867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in Excel.xlsx]Product Performance!PivotTable2</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chemeClr val="tx2">
                    <a:lumMod val="50000"/>
                  </a:schemeClr>
                </a:solidFill>
              </a:rPr>
              <a:t>Product Performance</a:t>
            </a:r>
            <a:endParaRPr lang="en-IN" sz="1800">
              <a:solidFill>
                <a:schemeClr val="tx2">
                  <a:lumMod val="50000"/>
                </a:schemeClr>
              </a:solidFill>
            </a:endParaRPr>
          </a:p>
        </c:rich>
      </c:tx>
      <c:layout>
        <c:manualLayout>
          <c:xMode val="edge"/>
          <c:yMode val="edge"/>
          <c:x val="0.20637680619052262"/>
          <c:y val="4.260354632590538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190923317683869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2.190923317683869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2.190923317683869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76597972423259"/>
          <c:y val="0.20833333333333334"/>
          <c:w val="0.57082301332051799"/>
          <c:h val="0.52118290267868139"/>
        </c:manualLayout>
      </c:layout>
      <c:barChart>
        <c:barDir val="col"/>
        <c:grouping val="clustered"/>
        <c:varyColors val="0"/>
        <c:ser>
          <c:idx val="0"/>
          <c:order val="0"/>
          <c:tx>
            <c:strRef>
              <c:f>'Product Performance'!$B$3</c:f>
              <c:strCache>
                <c:ptCount val="1"/>
                <c:pt idx="0">
                  <c:v>Sum of Revenue</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Performance'!$A$4:$A$9</c:f>
              <c:strCache>
                <c:ptCount val="5"/>
                <c:pt idx="0">
                  <c:v>Headphones</c:v>
                </c:pt>
                <c:pt idx="1">
                  <c:v>Laptop</c:v>
                </c:pt>
                <c:pt idx="2">
                  <c:v>Mobile</c:v>
                </c:pt>
                <c:pt idx="3">
                  <c:v>Monitor</c:v>
                </c:pt>
                <c:pt idx="4">
                  <c:v>Tablet</c:v>
                </c:pt>
              </c:strCache>
            </c:strRef>
          </c:cat>
          <c:val>
            <c:numRef>
              <c:f>'Product Performance'!$B$4:$B$9</c:f>
              <c:numCache>
                <c:formatCode>"₹"\ 00,000</c:formatCode>
                <c:ptCount val="5"/>
                <c:pt idx="0">
                  <c:v>10573920.960000001</c:v>
                </c:pt>
                <c:pt idx="1">
                  <c:v>47812236.309999995</c:v>
                </c:pt>
                <c:pt idx="2">
                  <c:v>26217068.050000004</c:v>
                </c:pt>
                <c:pt idx="3">
                  <c:v>23685531.98</c:v>
                </c:pt>
                <c:pt idx="4">
                  <c:v>45865168.060000002</c:v>
                </c:pt>
              </c:numCache>
            </c:numRef>
          </c:val>
          <c:extLst>
            <c:ext xmlns:c16="http://schemas.microsoft.com/office/drawing/2014/chart" uri="{C3380CC4-5D6E-409C-BE32-E72D297353CC}">
              <c16:uniqueId val="{00000000-91CC-4FEB-9D3B-8F6EDFB65E45}"/>
            </c:ext>
          </c:extLst>
        </c:ser>
        <c:ser>
          <c:idx val="1"/>
          <c:order val="1"/>
          <c:tx>
            <c:strRef>
              <c:f>'Product Performance'!$C$3</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91CC-4FEB-9D3B-8F6EDFB65E4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91CC-4FEB-9D3B-8F6EDFB65E45}"/>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91CC-4FEB-9D3B-8F6EDFB65E45}"/>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91CC-4FEB-9D3B-8F6EDFB65E45}"/>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91CC-4FEB-9D3B-8F6EDFB65E45}"/>
              </c:ext>
            </c:extLst>
          </c:dPt>
          <c:dLbls>
            <c:dLbl>
              <c:idx val="0"/>
              <c:layout>
                <c:manualLayout>
                  <c:x val="1.564945226917057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CC-4FEB-9D3B-8F6EDFB65E45}"/>
                </c:ext>
              </c:extLst>
            </c:dLbl>
            <c:dLbl>
              <c:idx val="1"/>
              <c:layout>
                <c:manualLayout>
                  <c:x val="2.1909233176838811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CC-4FEB-9D3B-8F6EDFB65E45}"/>
                </c:ext>
              </c:extLst>
            </c:dLbl>
            <c:dLbl>
              <c:idx val="2"/>
              <c:layout>
                <c:manualLayout>
                  <c:x val="1.564945226917057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CC-4FEB-9D3B-8F6EDFB65E45}"/>
                </c:ext>
              </c:extLst>
            </c:dLbl>
            <c:dLbl>
              <c:idx val="3"/>
              <c:layout>
                <c:manualLayout>
                  <c:x val="2.1909233176838811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CC-4FEB-9D3B-8F6EDFB65E45}"/>
                </c:ext>
              </c:extLst>
            </c:dLbl>
            <c:dLbl>
              <c:idx val="4"/>
              <c:layout>
                <c:manualLayout>
                  <c:x val="2.190923317683869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CC-4FEB-9D3B-8F6EDFB65E45}"/>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Performance'!$A$4:$A$9</c:f>
              <c:strCache>
                <c:ptCount val="5"/>
                <c:pt idx="0">
                  <c:v>Headphones</c:v>
                </c:pt>
                <c:pt idx="1">
                  <c:v>Laptop</c:v>
                </c:pt>
                <c:pt idx="2">
                  <c:v>Mobile</c:v>
                </c:pt>
                <c:pt idx="3">
                  <c:v>Monitor</c:v>
                </c:pt>
                <c:pt idx="4">
                  <c:v>Tablet</c:v>
                </c:pt>
              </c:strCache>
            </c:strRef>
          </c:cat>
          <c:val>
            <c:numRef>
              <c:f>'Product Performance'!$C$4:$C$9</c:f>
              <c:numCache>
                <c:formatCode>"₹"\ 00,000</c:formatCode>
                <c:ptCount val="5"/>
                <c:pt idx="0">
                  <c:v>-1532252.0399999998</c:v>
                </c:pt>
                <c:pt idx="1">
                  <c:v>5092657.3100000033</c:v>
                </c:pt>
                <c:pt idx="2">
                  <c:v>8580062.0500000007</c:v>
                </c:pt>
                <c:pt idx="3">
                  <c:v>1146357.9800000009</c:v>
                </c:pt>
                <c:pt idx="4">
                  <c:v>18906433.060000002</c:v>
                </c:pt>
              </c:numCache>
            </c:numRef>
          </c:val>
          <c:extLst>
            <c:ext xmlns:c16="http://schemas.microsoft.com/office/drawing/2014/chart" uri="{C3380CC4-5D6E-409C-BE32-E72D297353CC}">
              <c16:uniqueId val="{00000006-91CC-4FEB-9D3B-8F6EDFB65E45}"/>
            </c:ext>
          </c:extLst>
        </c:ser>
        <c:dLbls>
          <c:dLblPos val="outEnd"/>
          <c:showLegendKey val="0"/>
          <c:showVal val="1"/>
          <c:showCatName val="0"/>
          <c:showSerName val="0"/>
          <c:showPercent val="0"/>
          <c:showBubbleSize val="0"/>
        </c:dLbls>
        <c:gapWidth val="219"/>
        <c:overlap val="-27"/>
        <c:axId val="1354169839"/>
        <c:axId val="1354173199"/>
      </c:barChart>
      <c:catAx>
        <c:axId val="135416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tx2">
                        <a:lumMod val="50000"/>
                      </a:schemeClr>
                    </a:solidFill>
                  </a:rPr>
                  <a:t>Product</a:t>
                </a:r>
                <a:endParaRPr lang="en-IN" sz="1100">
                  <a:solidFill>
                    <a:schemeClr val="tx2">
                      <a:lumMod val="50000"/>
                    </a:schemeClr>
                  </a:solidFill>
                </a:endParaRPr>
              </a:p>
            </c:rich>
          </c:tx>
          <c:layout>
            <c:manualLayout>
              <c:xMode val="edge"/>
              <c:yMode val="edge"/>
              <c:x val="0.41545741488859605"/>
              <c:y val="0.872862855902873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173199"/>
        <c:crosses val="autoZero"/>
        <c:auto val="1"/>
        <c:lblAlgn val="ctr"/>
        <c:lblOffset val="100"/>
        <c:noMultiLvlLbl val="0"/>
      </c:catAx>
      <c:valAx>
        <c:axId val="135417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tx2">
                        <a:lumMod val="50000"/>
                      </a:schemeClr>
                    </a:solidFill>
                  </a:rPr>
                  <a:t>Values</a:t>
                </a:r>
                <a:r>
                  <a:rPr lang="en-IN" sz="1200" baseline="0">
                    <a:solidFill>
                      <a:schemeClr val="tx2">
                        <a:lumMod val="50000"/>
                      </a:schemeClr>
                    </a:solidFill>
                  </a:rPr>
                  <a:t> Of Revenue Or Profit</a:t>
                </a:r>
                <a:endParaRPr lang="en-IN" sz="1200">
                  <a:solidFill>
                    <a:schemeClr val="tx2">
                      <a:lumMod val="50000"/>
                    </a:schemeClr>
                  </a:solidFill>
                </a:endParaRPr>
              </a:p>
            </c:rich>
          </c:tx>
          <c:layout>
            <c:manualLayout>
              <c:xMode val="edge"/>
              <c:yMode val="edge"/>
              <c:x val="9.094377287346124E-2"/>
              <c:y val="0.166666666666666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169839"/>
        <c:crosses val="autoZero"/>
        <c:crossBetween val="between"/>
      </c:valAx>
      <c:spPr>
        <a:noFill/>
        <a:ln>
          <a:noFill/>
        </a:ln>
        <a:effectLst/>
      </c:spPr>
    </c:plotArea>
    <c:legend>
      <c:legendPos val="r"/>
      <c:layout>
        <c:manualLayout>
          <c:xMode val="edge"/>
          <c:yMode val="edge"/>
          <c:x val="0.79602760181293131"/>
          <c:y val="2.3726305045202681E-2"/>
          <c:w val="0.18496845789013217"/>
          <c:h val="0.18385890286922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in Excel.xlsx]Pivot Table!PivotTable8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3 Products by Profititability</a:t>
            </a:r>
            <a:endParaRPr lang="en-IN"/>
          </a:p>
        </c:rich>
      </c:tx>
      <c:layout>
        <c:manualLayout>
          <c:xMode val="edge"/>
          <c:yMode val="edge"/>
          <c:x val="0.400908450653366"/>
          <c:y val="4.31390066626287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4135015450837"/>
          <c:y val="0.30279858813742166"/>
          <c:w val="0.74507507464618916"/>
          <c:h val="0.42916338582677166"/>
        </c:manualLayout>
      </c:layout>
      <c:barChart>
        <c:barDir val="bar"/>
        <c:grouping val="clustered"/>
        <c:varyColors val="0"/>
        <c:ser>
          <c:idx val="0"/>
          <c:order val="0"/>
          <c:tx>
            <c:strRef>
              <c:f>'Pivot Table'!$E$7</c:f>
              <c:strCache>
                <c:ptCount val="1"/>
                <c:pt idx="0">
                  <c:v> Revenue</c:v>
                </c:pt>
              </c:strCache>
            </c:strRef>
          </c:tx>
          <c:spPr>
            <a:solidFill>
              <a:schemeClr val="accent1"/>
            </a:solidFill>
            <a:ln>
              <a:noFill/>
            </a:ln>
            <a:effectLst/>
          </c:spPr>
          <c:invertIfNegative val="0"/>
          <c:cat>
            <c:strRef>
              <c:f>'Pivot Table'!$D$8:$D$13</c:f>
              <c:strCache>
                <c:ptCount val="5"/>
                <c:pt idx="0">
                  <c:v>Headphones</c:v>
                </c:pt>
                <c:pt idx="1">
                  <c:v>Laptop</c:v>
                </c:pt>
                <c:pt idx="2">
                  <c:v>Mobile</c:v>
                </c:pt>
                <c:pt idx="3">
                  <c:v>Monitor</c:v>
                </c:pt>
                <c:pt idx="4">
                  <c:v>Tablet</c:v>
                </c:pt>
              </c:strCache>
            </c:strRef>
          </c:cat>
          <c:val>
            <c:numRef>
              <c:f>'Pivot Table'!$E$8:$E$13</c:f>
              <c:numCache>
                <c:formatCode>"₹"\ 00,000</c:formatCode>
                <c:ptCount val="5"/>
                <c:pt idx="0">
                  <c:v>10573920.960000001</c:v>
                </c:pt>
                <c:pt idx="1">
                  <c:v>47812236.309999995</c:v>
                </c:pt>
                <c:pt idx="2">
                  <c:v>26217068.050000004</c:v>
                </c:pt>
                <c:pt idx="3">
                  <c:v>23685531.98</c:v>
                </c:pt>
                <c:pt idx="4">
                  <c:v>45865168.060000002</c:v>
                </c:pt>
              </c:numCache>
            </c:numRef>
          </c:val>
          <c:extLst>
            <c:ext xmlns:c16="http://schemas.microsoft.com/office/drawing/2014/chart" uri="{C3380CC4-5D6E-409C-BE32-E72D297353CC}">
              <c16:uniqueId val="{00000000-1336-4532-9DBA-DEE796887259}"/>
            </c:ext>
          </c:extLst>
        </c:ser>
        <c:ser>
          <c:idx val="1"/>
          <c:order val="1"/>
          <c:tx>
            <c:strRef>
              <c:f>'Pivot Table'!$F$7</c:f>
              <c:strCache>
                <c:ptCount val="1"/>
                <c:pt idx="0">
                  <c:v>Profits</c:v>
                </c:pt>
              </c:strCache>
            </c:strRef>
          </c:tx>
          <c:spPr>
            <a:solidFill>
              <a:schemeClr val="accent2"/>
            </a:solidFill>
            <a:ln>
              <a:noFill/>
            </a:ln>
            <a:effectLst/>
          </c:spPr>
          <c:invertIfNegative val="0"/>
          <c:cat>
            <c:strRef>
              <c:f>'Pivot Table'!$D$8:$D$13</c:f>
              <c:strCache>
                <c:ptCount val="5"/>
                <c:pt idx="0">
                  <c:v>Headphones</c:v>
                </c:pt>
                <c:pt idx="1">
                  <c:v>Laptop</c:v>
                </c:pt>
                <c:pt idx="2">
                  <c:v>Mobile</c:v>
                </c:pt>
                <c:pt idx="3">
                  <c:v>Monitor</c:v>
                </c:pt>
                <c:pt idx="4">
                  <c:v>Tablet</c:v>
                </c:pt>
              </c:strCache>
            </c:strRef>
          </c:cat>
          <c:val>
            <c:numRef>
              <c:f>'Pivot Table'!$F$8:$F$13</c:f>
              <c:numCache>
                <c:formatCode>"₹"\ 00,000</c:formatCode>
                <c:ptCount val="5"/>
                <c:pt idx="0">
                  <c:v>-1532252.0399999998</c:v>
                </c:pt>
                <c:pt idx="1">
                  <c:v>5092657.3100000033</c:v>
                </c:pt>
                <c:pt idx="2">
                  <c:v>8580062.0500000007</c:v>
                </c:pt>
                <c:pt idx="3">
                  <c:v>1146357.9800000009</c:v>
                </c:pt>
                <c:pt idx="4">
                  <c:v>18906433.060000002</c:v>
                </c:pt>
              </c:numCache>
            </c:numRef>
          </c:val>
          <c:extLst>
            <c:ext xmlns:c16="http://schemas.microsoft.com/office/drawing/2014/chart" uri="{C3380CC4-5D6E-409C-BE32-E72D297353CC}">
              <c16:uniqueId val="{00000001-1336-4532-9DBA-DEE796887259}"/>
            </c:ext>
          </c:extLst>
        </c:ser>
        <c:dLbls>
          <c:showLegendKey val="0"/>
          <c:showVal val="0"/>
          <c:showCatName val="0"/>
          <c:showSerName val="0"/>
          <c:showPercent val="0"/>
          <c:showBubbleSize val="0"/>
        </c:dLbls>
        <c:gapWidth val="182"/>
        <c:axId val="1952011839"/>
        <c:axId val="1952010399"/>
      </c:barChart>
      <c:catAx>
        <c:axId val="1952011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Products</a:t>
                </a:r>
              </a:p>
            </c:rich>
          </c:tx>
          <c:layout>
            <c:manualLayout>
              <c:xMode val="edge"/>
              <c:yMode val="edge"/>
              <c:x val="5.7694433258684556E-2"/>
              <c:y val="0.231275366345406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10399"/>
        <c:crosses val="autoZero"/>
        <c:auto val="1"/>
        <c:lblAlgn val="ctr"/>
        <c:lblOffset val="100"/>
        <c:noMultiLvlLbl val="0"/>
      </c:catAx>
      <c:valAx>
        <c:axId val="1952010399"/>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11839"/>
        <c:crosses val="autoZero"/>
        <c:crossBetween val="between"/>
      </c:valAx>
      <c:spPr>
        <a:noFill/>
        <a:ln>
          <a:noFill/>
        </a:ln>
        <a:effectLst/>
      </c:spPr>
    </c:plotArea>
    <c:legend>
      <c:legendPos val="r"/>
      <c:layout>
        <c:manualLayout>
          <c:xMode val="edge"/>
          <c:yMode val="edge"/>
          <c:x val="0.91079687569796197"/>
          <c:y val="3.1101605087825567E-2"/>
          <c:w val="8.5702722178532531E-2"/>
          <c:h val="0.44619851605087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in Excel.xlsx]Sheet2!PivotTable2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3 Products by Revenue and Profit Margin (%)</a:t>
            </a:r>
            <a:endParaRPr lang="en-IN" sz="1400"/>
          </a:p>
        </c:rich>
      </c:tx>
      <c:layout>
        <c:manualLayout>
          <c:xMode val="edge"/>
          <c:yMode val="edge"/>
          <c:x val="0.11252067605079731"/>
          <c:y val="2.1951219512195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00205371109965"/>
          <c:y val="0.18430678466076697"/>
          <c:w val="0.30365303465795151"/>
          <c:h val="0.64104893967900034"/>
        </c:manualLayout>
      </c:layout>
      <c:barChart>
        <c:barDir val="col"/>
        <c:grouping val="clustered"/>
        <c:varyColors val="0"/>
        <c:ser>
          <c:idx val="0"/>
          <c:order val="0"/>
          <c:tx>
            <c:strRef>
              <c:f>Sheet2!$B$3</c:f>
              <c:strCache>
                <c:ptCount val="1"/>
                <c:pt idx="0">
                  <c:v>Sum of Revenue</c:v>
                </c:pt>
              </c:strCache>
            </c:strRef>
          </c:tx>
          <c:spPr>
            <a:solidFill>
              <a:schemeClr val="accent1"/>
            </a:solidFill>
            <a:ln>
              <a:noFill/>
            </a:ln>
            <a:effectLst/>
          </c:spPr>
          <c:invertIfNegative val="0"/>
          <c:cat>
            <c:strRef>
              <c:f>Sheet2!$A$4:$A$9</c:f>
              <c:strCache>
                <c:ptCount val="5"/>
                <c:pt idx="0">
                  <c:v>Headphones</c:v>
                </c:pt>
                <c:pt idx="1">
                  <c:v>Laptop</c:v>
                </c:pt>
                <c:pt idx="2">
                  <c:v>Mobile</c:v>
                </c:pt>
                <c:pt idx="3">
                  <c:v>Monitor</c:v>
                </c:pt>
                <c:pt idx="4">
                  <c:v>Tablet</c:v>
                </c:pt>
              </c:strCache>
            </c:strRef>
          </c:cat>
          <c:val>
            <c:numRef>
              <c:f>Sheet2!$B$4:$B$9</c:f>
              <c:numCache>
                <c:formatCode>"₹"\ 00,000</c:formatCode>
                <c:ptCount val="5"/>
                <c:pt idx="0">
                  <c:v>32387645.66</c:v>
                </c:pt>
                <c:pt idx="1">
                  <c:v>88874240.059999987</c:v>
                </c:pt>
                <c:pt idx="2">
                  <c:v>47389984.100000001</c:v>
                </c:pt>
                <c:pt idx="3">
                  <c:v>59704005.470000006</c:v>
                </c:pt>
                <c:pt idx="4">
                  <c:v>77223625.310000002</c:v>
                </c:pt>
              </c:numCache>
            </c:numRef>
          </c:val>
          <c:extLst>
            <c:ext xmlns:c16="http://schemas.microsoft.com/office/drawing/2014/chart" uri="{C3380CC4-5D6E-409C-BE32-E72D297353CC}">
              <c16:uniqueId val="{00000000-A152-4DB4-A072-D1CD04CF2D57}"/>
            </c:ext>
          </c:extLst>
        </c:ser>
        <c:dLbls>
          <c:showLegendKey val="0"/>
          <c:showVal val="0"/>
          <c:showCatName val="0"/>
          <c:showSerName val="0"/>
          <c:showPercent val="0"/>
          <c:showBubbleSize val="0"/>
        </c:dLbls>
        <c:gapWidth val="219"/>
        <c:overlap val="-27"/>
        <c:axId val="1610755087"/>
        <c:axId val="1610753647"/>
      </c:barChart>
      <c:lineChart>
        <c:grouping val="standard"/>
        <c:varyColors val="0"/>
        <c:ser>
          <c:idx val="1"/>
          <c:order val="1"/>
          <c:tx>
            <c:strRef>
              <c:f>Sheet2!$C$3</c:f>
              <c:strCache>
                <c:ptCount val="1"/>
                <c:pt idx="0">
                  <c:v>Average of profit margin %</c:v>
                </c:pt>
              </c:strCache>
            </c:strRef>
          </c:tx>
          <c:spPr>
            <a:ln w="28575" cap="rnd">
              <a:solidFill>
                <a:schemeClr val="accent2"/>
              </a:solidFill>
              <a:round/>
            </a:ln>
            <a:effectLst/>
          </c:spPr>
          <c:marker>
            <c:symbol val="none"/>
          </c:marker>
          <c:cat>
            <c:strRef>
              <c:f>Sheet2!$A$4:$A$9</c:f>
              <c:strCache>
                <c:ptCount val="5"/>
                <c:pt idx="0">
                  <c:v>Headphones</c:v>
                </c:pt>
                <c:pt idx="1">
                  <c:v>Laptop</c:v>
                </c:pt>
                <c:pt idx="2">
                  <c:v>Mobile</c:v>
                </c:pt>
                <c:pt idx="3">
                  <c:v>Monitor</c:v>
                </c:pt>
                <c:pt idx="4">
                  <c:v>Tablet</c:v>
                </c:pt>
              </c:strCache>
            </c:strRef>
          </c:cat>
          <c:val>
            <c:numRef>
              <c:f>Sheet2!$C$4:$C$9</c:f>
              <c:numCache>
                <c:formatCode>0.00%</c:formatCode>
                <c:ptCount val="5"/>
                <c:pt idx="0">
                  <c:v>-0.28086200835498693</c:v>
                </c:pt>
                <c:pt idx="1">
                  <c:v>-0.26481273917325754</c:v>
                </c:pt>
                <c:pt idx="2">
                  <c:v>0.16880076201732075</c:v>
                </c:pt>
                <c:pt idx="3">
                  <c:v>-0.2569831533134912</c:v>
                </c:pt>
                <c:pt idx="4">
                  <c:v>0.37350651687034803</c:v>
                </c:pt>
              </c:numCache>
            </c:numRef>
          </c:val>
          <c:smooth val="0"/>
          <c:extLst>
            <c:ext xmlns:c16="http://schemas.microsoft.com/office/drawing/2014/chart" uri="{C3380CC4-5D6E-409C-BE32-E72D297353CC}">
              <c16:uniqueId val="{00000001-A152-4DB4-A072-D1CD04CF2D57}"/>
            </c:ext>
          </c:extLst>
        </c:ser>
        <c:dLbls>
          <c:showLegendKey val="0"/>
          <c:showVal val="0"/>
          <c:showCatName val="0"/>
          <c:showSerName val="0"/>
          <c:showPercent val="0"/>
          <c:showBubbleSize val="0"/>
        </c:dLbls>
        <c:marker val="1"/>
        <c:smooth val="0"/>
        <c:axId val="1568813679"/>
        <c:axId val="1612034383"/>
      </c:lineChart>
      <c:catAx>
        <c:axId val="161075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925119071547799"/>
              <c:y val="0.944252850667133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753647"/>
        <c:crosses val="autoZero"/>
        <c:auto val="1"/>
        <c:lblAlgn val="ctr"/>
        <c:lblOffset val="100"/>
        <c:noMultiLvlLbl val="0"/>
      </c:catAx>
      <c:valAx>
        <c:axId val="161075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Revenue (in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755087"/>
        <c:crosses val="autoZero"/>
        <c:crossBetween val="between"/>
      </c:valAx>
      <c:valAx>
        <c:axId val="16120343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813679"/>
        <c:crosses val="max"/>
        <c:crossBetween val="between"/>
      </c:valAx>
      <c:catAx>
        <c:axId val="1568813679"/>
        <c:scaling>
          <c:orientation val="minMax"/>
        </c:scaling>
        <c:delete val="1"/>
        <c:axPos val="b"/>
        <c:numFmt formatCode="General" sourceLinked="1"/>
        <c:majorTickMark val="out"/>
        <c:minorTickMark val="none"/>
        <c:tickLblPos val="nextTo"/>
        <c:crossAx val="1612034383"/>
        <c:crosses val="autoZero"/>
        <c:auto val="1"/>
        <c:lblAlgn val="ctr"/>
        <c:lblOffset val="100"/>
        <c:noMultiLvlLbl val="0"/>
      </c:catAx>
      <c:spPr>
        <a:noFill/>
        <a:ln>
          <a:noFill/>
        </a:ln>
        <a:effectLst/>
      </c:spPr>
    </c:plotArea>
    <c:legend>
      <c:legendPos val="r"/>
      <c:layout>
        <c:manualLayout>
          <c:xMode val="edge"/>
          <c:yMode val="edge"/>
          <c:x val="0.68093901828138448"/>
          <c:y val="9.0100441713078544E-2"/>
          <c:w val="0.29157216721300394"/>
          <c:h val="0.23013116957941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45862</xdr:rowOff>
    </xdr:from>
    <xdr:to>
      <xdr:col>10</xdr:col>
      <xdr:colOff>585611</xdr:colOff>
      <xdr:row>3</xdr:row>
      <xdr:rowOff>112891</xdr:rowOff>
    </xdr:to>
    <xdr:sp macro="" textlink="">
      <xdr:nvSpPr>
        <xdr:cNvPr id="2" name="Rectangle 1">
          <a:extLst>
            <a:ext uri="{FF2B5EF4-FFF2-40B4-BE49-F238E27FC236}">
              <a16:creationId xmlns:a16="http://schemas.microsoft.com/office/drawing/2014/main" id="{87D78ACE-0307-D3D5-9CC8-2A2579AD130F}"/>
            </a:ext>
          </a:extLst>
        </xdr:cNvPr>
        <xdr:cNvSpPr/>
      </xdr:nvSpPr>
      <xdr:spPr>
        <a:xfrm>
          <a:off x="0" y="45862"/>
          <a:ext cx="6653389" cy="6173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hedhdbduwejdwefdhuefdwedfnjfuh</a:t>
          </a:r>
        </a:p>
      </xdr:txBody>
    </xdr:sp>
    <xdr:clientData/>
  </xdr:twoCellAnchor>
  <xdr:twoCellAnchor editAs="absolute">
    <xdr:from>
      <xdr:col>11</xdr:col>
      <xdr:colOff>42333</xdr:colOff>
      <xdr:row>0</xdr:row>
      <xdr:rowOff>42331</xdr:rowOff>
    </xdr:from>
    <xdr:to>
      <xdr:col>13</xdr:col>
      <xdr:colOff>522113</xdr:colOff>
      <xdr:row>3</xdr:row>
      <xdr:rowOff>112887</xdr:rowOff>
    </xdr:to>
    <xdr:sp macro="" textlink="">
      <xdr:nvSpPr>
        <xdr:cNvPr id="3" name="Rectangle 2">
          <a:extLst>
            <a:ext uri="{FF2B5EF4-FFF2-40B4-BE49-F238E27FC236}">
              <a16:creationId xmlns:a16="http://schemas.microsoft.com/office/drawing/2014/main" id="{2A2A4D15-3C1C-5D7E-1893-48ADF654C6EA}"/>
            </a:ext>
          </a:extLst>
        </xdr:cNvPr>
        <xdr:cNvSpPr/>
      </xdr:nvSpPr>
      <xdr:spPr>
        <a:xfrm>
          <a:off x="6716889" y="42331"/>
          <a:ext cx="1693335" cy="620889"/>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564444</xdr:colOff>
      <xdr:row>0</xdr:row>
      <xdr:rowOff>35277</xdr:rowOff>
    </xdr:from>
    <xdr:to>
      <xdr:col>17</xdr:col>
      <xdr:colOff>35278</xdr:colOff>
      <xdr:row>3</xdr:row>
      <xdr:rowOff>141111</xdr:rowOff>
    </xdr:to>
    <xdr:sp macro="" textlink="">
      <xdr:nvSpPr>
        <xdr:cNvPr id="5" name="Rectangle 4">
          <a:extLst>
            <a:ext uri="{FF2B5EF4-FFF2-40B4-BE49-F238E27FC236}">
              <a16:creationId xmlns:a16="http://schemas.microsoft.com/office/drawing/2014/main" id="{40174CBE-CE3A-2ECB-52B8-8F50E29A394D}"/>
            </a:ext>
          </a:extLst>
        </xdr:cNvPr>
        <xdr:cNvSpPr/>
      </xdr:nvSpPr>
      <xdr:spPr>
        <a:xfrm>
          <a:off x="8452555" y="35277"/>
          <a:ext cx="1897945" cy="65616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21166</xdr:colOff>
      <xdr:row>3</xdr:row>
      <xdr:rowOff>165806</xdr:rowOff>
    </xdr:from>
    <xdr:to>
      <xdr:col>13</xdr:col>
      <xdr:colOff>515057</xdr:colOff>
      <xdr:row>6</xdr:row>
      <xdr:rowOff>162277</xdr:rowOff>
    </xdr:to>
    <xdr:sp macro="" textlink="">
      <xdr:nvSpPr>
        <xdr:cNvPr id="6" name="Rectangle 5">
          <a:extLst>
            <a:ext uri="{FF2B5EF4-FFF2-40B4-BE49-F238E27FC236}">
              <a16:creationId xmlns:a16="http://schemas.microsoft.com/office/drawing/2014/main" id="{BDAE1969-E5F0-E8B1-D7DC-BF59BFF017E0}"/>
            </a:ext>
          </a:extLst>
        </xdr:cNvPr>
        <xdr:cNvSpPr/>
      </xdr:nvSpPr>
      <xdr:spPr>
        <a:xfrm>
          <a:off x="6695722" y="716139"/>
          <a:ext cx="1707446" cy="54680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21167</xdr:colOff>
      <xdr:row>3</xdr:row>
      <xdr:rowOff>155224</xdr:rowOff>
    </xdr:from>
    <xdr:to>
      <xdr:col>10</xdr:col>
      <xdr:colOff>543276</xdr:colOff>
      <xdr:row>20</xdr:row>
      <xdr:rowOff>91722</xdr:rowOff>
    </xdr:to>
    <xdr:sp macro="" textlink="">
      <xdr:nvSpPr>
        <xdr:cNvPr id="10" name="Rectangle 9">
          <a:extLst>
            <a:ext uri="{FF2B5EF4-FFF2-40B4-BE49-F238E27FC236}">
              <a16:creationId xmlns:a16="http://schemas.microsoft.com/office/drawing/2014/main" id="{2D0FB1F3-D18E-6469-0789-C04DD2A902EB}"/>
            </a:ext>
          </a:extLst>
        </xdr:cNvPr>
        <xdr:cNvSpPr/>
      </xdr:nvSpPr>
      <xdr:spPr>
        <a:xfrm>
          <a:off x="2448278" y="705557"/>
          <a:ext cx="4162776" cy="305505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55563</xdr:colOff>
      <xdr:row>3</xdr:row>
      <xdr:rowOff>155223</xdr:rowOff>
    </xdr:from>
    <xdr:to>
      <xdr:col>3</xdr:col>
      <xdr:colOff>578555</xdr:colOff>
      <xdr:row>20</xdr:row>
      <xdr:rowOff>91722</xdr:rowOff>
    </xdr:to>
    <xdr:sp macro="" textlink="">
      <xdr:nvSpPr>
        <xdr:cNvPr id="11" name="Rectangle 10">
          <a:extLst>
            <a:ext uri="{FF2B5EF4-FFF2-40B4-BE49-F238E27FC236}">
              <a16:creationId xmlns:a16="http://schemas.microsoft.com/office/drawing/2014/main" id="{2EE073E0-6076-B000-1C7D-0B2BACD83E87}"/>
            </a:ext>
          </a:extLst>
        </xdr:cNvPr>
        <xdr:cNvSpPr/>
      </xdr:nvSpPr>
      <xdr:spPr>
        <a:xfrm>
          <a:off x="55563" y="702911"/>
          <a:ext cx="2356555" cy="304006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91722</xdr:colOff>
      <xdr:row>4</xdr:row>
      <xdr:rowOff>77612</xdr:rowOff>
    </xdr:from>
    <xdr:to>
      <xdr:col>21</xdr:col>
      <xdr:colOff>557387</xdr:colOff>
      <xdr:row>6</xdr:row>
      <xdr:rowOff>169333</xdr:rowOff>
    </xdr:to>
    <xdr:sp macro="" textlink="">
      <xdr:nvSpPr>
        <xdr:cNvPr id="12" name="Rectangle 11">
          <a:extLst>
            <a:ext uri="{FF2B5EF4-FFF2-40B4-BE49-F238E27FC236}">
              <a16:creationId xmlns:a16="http://schemas.microsoft.com/office/drawing/2014/main" id="{2BD74F14-E9F9-F78D-91D8-F569328EAB3E}"/>
            </a:ext>
          </a:extLst>
        </xdr:cNvPr>
        <xdr:cNvSpPr/>
      </xdr:nvSpPr>
      <xdr:spPr>
        <a:xfrm>
          <a:off x="10406944" y="811390"/>
          <a:ext cx="2525887" cy="45861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599722</xdr:colOff>
      <xdr:row>7</xdr:row>
      <xdr:rowOff>28222</xdr:rowOff>
    </xdr:from>
    <xdr:to>
      <xdr:col>16</xdr:col>
      <xdr:colOff>112890</xdr:colOff>
      <xdr:row>20</xdr:row>
      <xdr:rowOff>105834</xdr:rowOff>
    </xdr:to>
    <xdr:sp macro="" textlink="">
      <xdr:nvSpPr>
        <xdr:cNvPr id="14" name="Rectangle 13">
          <a:extLst>
            <a:ext uri="{FF2B5EF4-FFF2-40B4-BE49-F238E27FC236}">
              <a16:creationId xmlns:a16="http://schemas.microsoft.com/office/drawing/2014/main" id="{388F9FBF-A14C-5D8A-3D7D-6423D0BB1C7D}"/>
            </a:ext>
          </a:extLst>
        </xdr:cNvPr>
        <xdr:cNvSpPr/>
      </xdr:nvSpPr>
      <xdr:spPr>
        <a:xfrm>
          <a:off x="6667500" y="1312333"/>
          <a:ext cx="3153834" cy="24623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169334</xdr:colOff>
      <xdr:row>7</xdr:row>
      <xdr:rowOff>28224</xdr:rowOff>
    </xdr:from>
    <xdr:to>
      <xdr:col>21</xdr:col>
      <xdr:colOff>564445</xdr:colOff>
      <xdr:row>20</xdr:row>
      <xdr:rowOff>105834</xdr:rowOff>
    </xdr:to>
    <xdr:sp macro="" textlink="">
      <xdr:nvSpPr>
        <xdr:cNvPr id="15" name="Rectangle 14">
          <a:extLst>
            <a:ext uri="{FF2B5EF4-FFF2-40B4-BE49-F238E27FC236}">
              <a16:creationId xmlns:a16="http://schemas.microsoft.com/office/drawing/2014/main" id="{688B6657-8E8C-9D8D-F3D0-5C4359303EC3}"/>
            </a:ext>
          </a:extLst>
        </xdr:cNvPr>
        <xdr:cNvSpPr/>
      </xdr:nvSpPr>
      <xdr:spPr>
        <a:xfrm>
          <a:off x="9877778" y="1312335"/>
          <a:ext cx="3062111" cy="246238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133350</xdr:colOff>
      <xdr:row>0</xdr:row>
      <xdr:rowOff>133350</xdr:rowOff>
    </xdr:from>
    <xdr:ext cx="4711700" cy="635000"/>
    <xdr:sp macro="" textlink="">
      <xdr:nvSpPr>
        <xdr:cNvPr id="16" name="Rectangle 15">
          <a:extLst>
            <a:ext uri="{FF2B5EF4-FFF2-40B4-BE49-F238E27FC236}">
              <a16:creationId xmlns:a16="http://schemas.microsoft.com/office/drawing/2014/main" id="{C794F5A2-F213-F74B-4FE9-AEF64EA5D78B}"/>
            </a:ext>
          </a:extLst>
        </xdr:cNvPr>
        <xdr:cNvSpPr/>
      </xdr:nvSpPr>
      <xdr:spPr>
        <a:xfrm>
          <a:off x="133350" y="133350"/>
          <a:ext cx="4711700" cy="635000"/>
        </a:xfrm>
        <a:prstGeom prst="rect">
          <a:avLst/>
        </a:prstGeom>
        <a:noFill/>
      </xdr:spPr>
      <xdr:txBody>
        <a:bodyPr wrap="none" lIns="91440" tIns="45720" rIns="91440" bIns="45720">
          <a:noAutofit/>
        </a:bodyPr>
        <a:lstStyle/>
        <a:p>
          <a:pPr algn="ct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9</xdr:col>
      <xdr:colOff>381000</xdr:colOff>
      <xdr:row>14</xdr:row>
      <xdr:rowOff>95250</xdr:rowOff>
    </xdr:from>
    <xdr:to>
      <xdr:col>9</xdr:col>
      <xdr:colOff>426719</xdr:colOff>
      <xdr:row>14</xdr:row>
      <xdr:rowOff>158750</xdr:rowOff>
    </xdr:to>
    <xdr:sp macro="" textlink="">
      <xdr:nvSpPr>
        <xdr:cNvPr id="17" name="TextBox 16">
          <a:extLst>
            <a:ext uri="{FF2B5EF4-FFF2-40B4-BE49-F238E27FC236}">
              <a16:creationId xmlns:a16="http://schemas.microsoft.com/office/drawing/2014/main" id="{09817626-208F-8EB2-363E-66DBC7289C3E}"/>
            </a:ext>
          </a:extLst>
        </xdr:cNvPr>
        <xdr:cNvSpPr txBox="1"/>
      </xdr:nvSpPr>
      <xdr:spPr>
        <a:xfrm>
          <a:off x="5867400" y="2673350"/>
          <a:ext cx="45719" cy="6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0</xdr:col>
      <xdr:colOff>49389</xdr:colOff>
      <xdr:row>0</xdr:row>
      <xdr:rowOff>112888</xdr:rowOff>
    </xdr:from>
    <xdr:ext cx="6533444" cy="479779"/>
    <xdr:sp macro="" textlink="">
      <xdr:nvSpPr>
        <xdr:cNvPr id="18" name="Rectangle 17">
          <a:extLst>
            <a:ext uri="{FF2B5EF4-FFF2-40B4-BE49-F238E27FC236}">
              <a16:creationId xmlns:a16="http://schemas.microsoft.com/office/drawing/2014/main" id="{B8B94848-AE9C-E856-2631-02A7F4C5641D}"/>
            </a:ext>
          </a:extLst>
        </xdr:cNvPr>
        <xdr:cNvSpPr/>
      </xdr:nvSpPr>
      <xdr:spPr>
        <a:xfrm>
          <a:off x="49389" y="112888"/>
          <a:ext cx="6533444" cy="479779"/>
        </a:xfrm>
        <a:prstGeom prst="rect">
          <a:avLst/>
        </a:prstGeom>
        <a:solidFill>
          <a:schemeClr val="tx2">
            <a:lumMod val="20000"/>
            <a:lumOff val="80000"/>
          </a:schemeClr>
        </a:solidFill>
      </xdr:spPr>
      <xdr:txBody>
        <a:bodyPr wrap="square" lIns="91440" tIns="45720" rIns="91440" bIns="45720">
          <a:noAutofit/>
        </a:bodyPr>
        <a:lstStyle/>
        <a:p>
          <a:pPr algn="ctr"/>
          <a:r>
            <a:rPr lang="en-IN" sz="2400">
              <a:latin typeface="Algerian" panose="04020705040A02060702" pitchFamily="82" charset="0"/>
            </a:rPr>
            <a:t>Product Sales Performance Dashboard</a:t>
          </a:r>
          <a:endParaRPr lang="en-IN" sz="2400" b="0" cap="none" spc="0">
            <a:ln w="0"/>
            <a:solidFill>
              <a:schemeClr val="tx1"/>
            </a:solidFill>
            <a:effectLst>
              <a:outerShdw blurRad="38100" dist="19050" dir="2700000" algn="tl" rotWithShape="0">
                <a:schemeClr val="dk1">
                  <a:alpha val="40000"/>
                </a:schemeClr>
              </a:outerShdw>
            </a:effectLst>
            <a:latin typeface="Algerian" panose="04020705040A02060702" pitchFamily="82" charset="0"/>
          </a:endParaRPr>
        </a:p>
      </xdr:txBody>
    </xdr:sp>
    <xdr:clientData/>
  </xdr:oneCellAnchor>
  <xdr:oneCellAnchor>
    <xdr:from>
      <xdr:col>8</xdr:col>
      <xdr:colOff>165099</xdr:colOff>
      <xdr:row>2</xdr:row>
      <xdr:rowOff>19050</xdr:rowOff>
    </xdr:from>
    <xdr:ext cx="1581151" cy="387350"/>
    <xdr:sp macro="" textlink="">
      <xdr:nvSpPr>
        <xdr:cNvPr id="19" name="Rectangle 18">
          <a:extLst>
            <a:ext uri="{FF2B5EF4-FFF2-40B4-BE49-F238E27FC236}">
              <a16:creationId xmlns:a16="http://schemas.microsoft.com/office/drawing/2014/main" id="{7BCD534E-5334-81FC-15A2-7558E6A33B82}"/>
            </a:ext>
          </a:extLst>
        </xdr:cNvPr>
        <xdr:cNvSpPr/>
      </xdr:nvSpPr>
      <xdr:spPr>
        <a:xfrm>
          <a:off x="5041899" y="387350"/>
          <a:ext cx="1581151" cy="387350"/>
        </a:xfrm>
        <a:prstGeom prst="rect">
          <a:avLst/>
        </a:prstGeom>
        <a:noFill/>
      </xdr:spPr>
      <xdr:txBody>
        <a:bodyPr wrap="none" lIns="91440" tIns="45720" rIns="91440" bIns="45720">
          <a:noAutofit/>
        </a:bodyPr>
        <a:lstStyle/>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165099</xdr:colOff>
      <xdr:row>0</xdr:row>
      <xdr:rowOff>88900</xdr:rowOff>
    </xdr:from>
    <xdr:ext cx="1581151" cy="387350"/>
    <xdr:sp macro="" textlink="">
      <xdr:nvSpPr>
        <xdr:cNvPr id="20" name="Rectangle 19">
          <a:extLst>
            <a:ext uri="{FF2B5EF4-FFF2-40B4-BE49-F238E27FC236}">
              <a16:creationId xmlns:a16="http://schemas.microsoft.com/office/drawing/2014/main" id="{DB969B0F-CEBA-F49F-B889-4288F4B3C204}"/>
            </a:ext>
          </a:extLst>
        </xdr:cNvPr>
        <xdr:cNvSpPr/>
      </xdr:nvSpPr>
      <xdr:spPr>
        <a:xfrm>
          <a:off x="5041899" y="88900"/>
          <a:ext cx="1581151" cy="387350"/>
        </a:xfrm>
        <a:prstGeom prst="rect">
          <a:avLst/>
        </a:prstGeom>
        <a:noFill/>
      </xdr:spPr>
      <xdr:txBody>
        <a:bodyPr wrap="none" lIns="91440" tIns="45720" rIns="91440" bIns="45720">
          <a:noAutofit/>
        </a:bodyPr>
        <a:lstStyle/>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155222</xdr:colOff>
      <xdr:row>1</xdr:row>
      <xdr:rowOff>112889</xdr:rowOff>
    </xdr:from>
    <xdr:ext cx="1481666" cy="352778"/>
    <xdr:sp macro="" textlink="">
      <xdr:nvSpPr>
        <xdr:cNvPr id="22" name="Rectangle 21">
          <a:extLst>
            <a:ext uri="{FF2B5EF4-FFF2-40B4-BE49-F238E27FC236}">
              <a16:creationId xmlns:a16="http://schemas.microsoft.com/office/drawing/2014/main" id="{58743CFC-E8DF-B696-0A5F-B2C035626AA4}"/>
            </a:ext>
          </a:extLst>
        </xdr:cNvPr>
        <xdr:cNvSpPr/>
      </xdr:nvSpPr>
      <xdr:spPr>
        <a:xfrm>
          <a:off x="6829778" y="296333"/>
          <a:ext cx="1481666" cy="352778"/>
        </a:xfrm>
        <a:prstGeom prst="rect">
          <a:avLst/>
        </a:prstGeom>
        <a:noFill/>
      </xdr:spPr>
      <xdr:txBody>
        <a:bodyPr wrap="none" lIns="91440" tIns="45720" rIns="91440" bIns="45720">
          <a:noAutofit/>
        </a:bodyPr>
        <a:lstStyle/>
        <a:p>
          <a:pPr algn="ctr"/>
          <a:r>
            <a:rPr lang="en-IN" sz="1800" b="0" cap="none" spc="0">
              <a:ln>
                <a:noFill/>
              </a:ln>
              <a:solidFill>
                <a:schemeClr val="tx1"/>
              </a:solidFill>
              <a:effectLst/>
            </a:rPr>
            <a:t>Total</a:t>
          </a:r>
          <a:r>
            <a:rPr lang="en-IN" sz="1800" b="0" cap="none" spc="0" baseline="0">
              <a:ln>
                <a:noFill/>
              </a:ln>
              <a:solidFill>
                <a:schemeClr val="tx1"/>
              </a:solidFill>
              <a:effectLst/>
            </a:rPr>
            <a:t> Revenue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184149</xdr:colOff>
      <xdr:row>0</xdr:row>
      <xdr:rowOff>171450</xdr:rowOff>
    </xdr:from>
    <xdr:ext cx="1943101" cy="317500"/>
    <xdr:sp macro="" textlink="">
      <xdr:nvSpPr>
        <xdr:cNvPr id="23" name="Rectangle 22">
          <a:extLst>
            <a:ext uri="{FF2B5EF4-FFF2-40B4-BE49-F238E27FC236}">
              <a16:creationId xmlns:a16="http://schemas.microsoft.com/office/drawing/2014/main" id="{49A1F4DF-1437-DF1C-4735-6403401461EC}"/>
            </a:ext>
          </a:extLst>
        </xdr:cNvPr>
        <xdr:cNvSpPr/>
      </xdr:nvSpPr>
      <xdr:spPr>
        <a:xfrm>
          <a:off x="5060949" y="171450"/>
          <a:ext cx="1943101" cy="317500"/>
        </a:xfrm>
        <a:prstGeom prst="rect">
          <a:avLst/>
        </a:prstGeom>
        <a:noFill/>
      </xdr:spPr>
      <xdr:txBody>
        <a:bodyPr wrap="none" lIns="91440" tIns="45720" rIns="91440" bIns="45720">
          <a:noAutofit/>
        </a:bodyPr>
        <a:lstStyle/>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49389</xdr:colOff>
      <xdr:row>1</xdr:row>
      <xdr:rowOff>105835</xdr:rowOff>
    </xdr:from>
    <xdr:ext cx="1728611" cy="381000"/>
    <xdr:sp macro="" textlink="">
      <xdr:nvSpPr>
        <xdr:cNvPr id="27" name="Rectangle 26">
          <a:extLst>
            <a:ext uri="{FF2B5EF4-FFF2-40B4-BE49-F238E27FC236}">
              <a16:creationId xmlns:a16="http://schemas.microsoft.com/office/drawing/2014/main" id="{881B7B63-67ED-4B61-2918-36F39CE339F9}"/>
            </a:ext>
          </a:extLst>
        </xdr:cNvPr>
        <xdr:cNvSpPr/>
      </xdr:nvSpPr>
      <xdr:spPr>
        <a:xfrm>
          <a:off x="8544278" y="289279"/>
          <a:ext cx="1728611" cy="381000"/>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Average</a:t>
          </a:r>
          <a:r>
            <a:rPr lang="en-US" sz="1800" b="0" cap="none" spc="0" baseline="0">
              <a:ln w="0"/>
              <a:solidFill>
                <a:schemeClr val="tx1"/>
              </a:solidFill>
              <a:effectLst>
                <a:outerShdw blurRad="38100" dist="19050" dir="2700000" algn="tl" rotWithShape="0">
                  <a:schemeClr val="dk1">
                    <a:alpha val="40000"/>
                  </a:schemeClr>
                </a:outerShdw>
              </a:effectLst>
            </a:rPr>
            <a:t> Quantity</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112894</xdr:colOff>
      <xdr:row>2</xdr:row>
      <xdr:rowOff>158751</xdr:rowOff>
    </xdr:from>
    <xdr:ext cx="2877955" cy="304799"/>
    <xdr:sp macro="" textlink="">
      <xdr:nvSpPr>
        <xdr:cNvPr id="31" name="Rectangle 30">
          <a:extLst>
            <a:ext uri="{FF2B5EF4-FFF2-40B4-BE49-F238E27FC236}">
              <a16:creationId xmlns:a16="http://schemas.microsoft.com/office/drawing/2014/main" id="{D0AE7E50-B123-07D3-3921-F0CA4140AD65}"/>
            </a:ext>
          </a:extLst>
        </xdr:cNvPr>
        <xdr:cNvSpPr/>
      </xdr:nvSpPr>
      <xdr:spPr>
        <a:xfrm flipH="1">
          <a:off x="9866494" y="527051"/>
          <a:ext cx="2877955" cy="304799"/>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oneCellAnchor>
  <xdr:twoCellAnchor editAs="absolute">
    <xdr:from>
      <xdr:col>17</xdr:col>
      <xdr:colOff>70555</xdr:colOff>
      <xdr:row>0</xdr:row>
      <xdr:rowOff>42333</xdr:rowOff>
    </xdr:from>
    <xdr:to>
      <xdr:col>21</xdr:col>
      <xdr:colOff>550335</xdr:colOff>
      <xdr:row>4</xdr:row>
      <xdr:rowOff>21166</xdr:rowOff>
    </xdr:to>
    <xdr:sp macro="" textlink="">
      <xdr:nvSpPr>
        <xdr:cNvPr id="32" name="Rectangle 31">
          <a:extLst>
            <a:ext uri="{FF2B5EF4-FFF2-40B4-BE49-F238E27FC236}">
              <a16:creationId xmlns:a16="http://schemas.microsoft.com/office/drawing/2014/main" id="{90CDD1B3-3A19-7B5D-3936-11230583408B}"/>
            </a:ext>
          </a:extLst>
        </xdr:cNvPr>
        <xdr:cNvSpPr/>
      </xdr:nvSpPr>
      <xdr:spPr>
        <a:xfrm>
          <a:off x="10385777" y="42333"/>
          <a:ext cx="2540002" cy="71261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176387</xdr:colOff>
      <xdr:row>1</xdr:row>
      <xdr:rowOff>169335</xdr:rowOff>
    </xdr:from>
    <xdr:ext cx="2335385" cy="317500"/>
    <xdr:sp macro="" textlink="">
      <xdr:nvSpPr>
        <xdr:cNvPr id="33" name="Rectangle 32">
          <a:extLst>
            <a:ext uri="{FF2B5EF4-FFF2-40B4-BE49-F238E27FC236}">
              <a16:creationId xmlns:a16="http://schemas.microsoft.com/office/drawing/2014/main" id="{3D953D0E-040B-A917-419B-C48C48D479BD}"/>
            </a:ext>
          </a:extLst>
        </xdr:cNvPr>
        <xdr:cNvSpPr/>
      </xdr:nvSpPr>
      <xdr:spPr>
        <a:xfrm flipH="1">
          <a:off x="10491609" y="352779"/>
          <a:ext cx="2335385" cy="317500"/>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Average profit margin</a:t>
          </a:r>
        </a:p>
      </xdr:txBody>
    </xdr:sp>
    <xdr:clientData/>
  </xdr:oneCellAnchor>
  <xdr:oneCellAnchor>
    <xdr:from>
      <xdr:col>11</xdr:col>
      <xdr:colOff>63500</xdr:colOff>
      <xdr:row>5</xdr:row>
      <xdr:rowOff>7056</xdr:rowOff>
    </xdr:from>
    <xdr:ext cx="1594555" cy="331611"/>
    <xdr:sp macro="" textlink="">
      <xdr:nvSpPr>
        <xdr:cNvPr id="35" name="Rectangle 34">
          <a:extLst>
            <a:ext uri="{FF2B5EF4-FFF2-40B4-BE49-F238E27FC236}">
              <a16:creationId xmlns:a16="http://schemas.microsoft.com/office/drawing/2014/main" id="{A07FA5CE-AD8B-671F-5EEC-431B5F89F634}"/>
            </a:ext>
          </a:extLst>
        </xdr:cNvPr>
        <xdr:cNvSpPr/>
      </xdr:nvSpPr>
      <xdr:spPr>
        <a:xfrm>
          <a:off x="6738056" y="924278"/>
          <a:ext cx="1594555" cy="331611"/>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Product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469900</xdr:colOff>
      <xdr:row>7</xdr:row>
      <xdr:rowOff>137770</xdr:rowOff>
    </xdr:from>
    <xdr:ext cx="2051050" cy="294029"/>
    <xdr:sp macro="" textlink="">
      <xdr:nvSpPr>
        <xdr:cNvPr id="37" name="Rectangle 36">
          <a:extLst>
            <a:ext uri="{FF2B5EF4-FFF2-40B4-BE49-F238E27FC236}">
              <a16:creationId xmlns:a16="http://schemas.microsoft.com/office/drawing/2014/main" id="{3C0CB503-8062-4E37-B7E8-EA416F798B45}"/>
            </a:ext>
          </a:extLst>
        </xdr:cNvPr>
        <xdr:cNvSpPr/>
      </xdr:nvSpPr>
      <xdr:spPr>
        <a:xfrm>
          <a:off x="7175500" y="1426820"/>
          <a:ext cx="2051050" cy="294029"/>
        </a:xfrm>
        <a:prstGeom prst="rect">
          <a:avLst/>
        </a:prstGeom>
        <a:noFill/>
      </xdr:spPr>
      <xdr:txBody>
        <a:bodyPr wrap="none" lIns="91440" tIns="45720" rIns="91440" bIns="45720">
          <a:noAutofit/>
        </a:bodyPr>
        <a:lstStyle/>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215899</xdr:colOff>
      <xdr:row>1</xdr:row>
      <xdr:rowOff>12700</xdr:rowOff>
    </xdr:from>
    <xdr:ext cx="1987551" cy="342900"/>
    <xdr:sp macro="" textlink="">
      <xdr:nvSpPr>
        <xdr:cNvPr id="44" name="Rectangle 43">
          <a:extLst>
            <a:ext uri="{FF2B5EF4-FFF2-40B4-BE49-F238E27FC236}">
              <a16:creationId xmlns:a16="http://schemas.microsoft.com/office/drawing/2014/main" id="{A90D3CCF-5867-6D58-085C-9637958D4980}"/>
            </a:ext>
          </a:extLst>
        </xdr:cNvPr>
        <xdr:cNvSpPr/>
      </xdr:nvSpPr>
      <xdr:spPr>
        <a:xfrm>
          <a:off x="5092699" y="196850"/>
          <a:ext cx="1987551" cy="342900"/>
        </a:xfrm>
        <a:prstGeom prst="rect">
          <a:avLst/>
        </a:prstGeom>
        <a:noFill/>
      </xdr:spPr>
      <xdr:txBody>
        <a:bodyPr wrap="none" lIns="91440" tIns="45720" rIns="91440" bIns="45720">
          <a:noAutofit/>
        </a:bodyPr>
        <a:lstStyle/>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374649</xdr:colOff>
      <xdr:row>7</xdr:row>
      <xdr:rowOff>171450</xdr:rowOff>
    </xdr:from>
    <xdr:ext cx="1549401" cy="349250"/>
    <xdr:sp macro="" textlink="">
      <xdr:nvSpPr>
        <xdr:cNvPr id="46" name="Rectangle 45">
          <a:extLst>
            <a:ext uri="{FF2B5EF4-FFF2-40B4-BE49-F238E27FC236}">
              <a16:creationId xmlns:a16="http://schemas.microsoft.com/office/drawing/2014/main" id="{5CF44C67-601E-C953-B8B1-D27B09F2B0BF}"/>
            </a:ext>
          </a:extLst>
        </xdr:cNvPr>
        <xdr:cNvSpPr/>
      </xdr:nvSpPr>
      <xdr:spPr>
        <a:xfrm>
          <a:off x="5251449" y="1460500"/>
          <a:ext cx="1549401" cy="349250"/>
        </a:xfrm>
        <a:prstGeom prst="rect">
          <a:avLst/>
        </a:prstGeom>
        <a:noFill/>
      </xdr:spPr>
      <xdr:txBody>
        <a:bodyPr wrap="none" lIns="91440" tIns="45720" rIns="91440" bIns="45720">
          <a:noAutofit/>
        </a:bodyPr>
        <a:lstStyle/>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578554</xdr:colOff>
      <xdr:row>4</xdr:row>
      <xdr:rowOff>12700</xdr:rowOff>
    </xdr:from>
    <xdr:ext cx="1763889" cy="304800"/>
    <xdr:sp macro="" textlink="'Pivot Table'!D8">
      <xdr:nvSpPr>
        <xdr:cNvPr id="48" name="Rectangle 47">
          <a:extLst>
            <a:ext uri="{FF2B5EF4-FFF2-40B4-BE49-F238E27FC236}">
              <a16:creationId xmlns:a16="http://schemas.microsoft.com/office/drawing/2014/main" id="{AA4A3C16-772C-3926-DA55-C5B30A9228A5}"/>
            </a:ext>
          </a:extLst>
        </xdr:cNvPr>
        <xdr:cNvSpPr/>
      </xdr:nvSpPr>
      <xdr:spPr>
        <a:xfrm>
          <a:off x="6646332" y="746478"/>
          <a:ext cx="1763889" cy="304800"/>
        </a:xfrm>
        <a:prstGeom prst="rect">
          <a:avLst/>
        </a:prstGeom>
        <a:noFill/>
      </xdr:spPr>
      <xdr:txBody>
        <a:bodyPr wrap="none" lIns="91440" tIns="45720" rIns="91440" bIns="45720">
          <a:noAutofit/>
        </a:bodyPr>
        <a:lstStyle/>
        <a:p>
          <a:pPr algn="ctr"/>
          <a:fld id="{D53FC782-C8E8-48E6-B8B6-E7730E953B72}"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Headphones</a:t>
          </a:fld>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absolute">
    <xdr:from>
      <xdr:col>13</xdr:col>
      <xdr:colOff>557388</xdr:colOff>
      <xdr:row>4</xdr:row>
      <xdr:rowOff>14111</xdr:rowOff>
    </xdr:from>
    <xdr:to>
      <xdr:col>17</xdr:col>
      <xdr:colOff>49386</xdr:colOff>
      <xdr:row>6</xdr:row>
      <xdr:rowOff>169333</xdr:rowOff>
    </xdr:to>
    <xdr:sp macro="" textlink="">
      <xdr:nvSpPr>
        <xdr:cNvPr id="53" name="Rectangle 52">
          <a:extLst>
            <a:ext uri="{FF2B5EF4-FFF2-40B4-BE49-F238E27FC236}">
              <a16:creationId xmlns:a16="http://schemas.microsoft.com/office/drawing/2014/main" id="{2F7D8C99-BF6A-812A-2D41-587A78A09E73}"/>
            </a:ext>
          </a:extLst>
        </xdr:cNvPr>
        <xdr:cNvSpPr/>
      </xdr:nvSpPr>
      <xdr:spPr>
        <a:xfrm>
          <a:off x="8445499" y="747889"/>
          <a:ext cx="1919109" cy="52211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141111</xdr:colOff>
      <xdr:row>7</xdr:row>
      <xdr:rowOff>107950</xdr:rowOff>
    </xdr:from>
    <xdr:ext cx="2300112" cy="323849"/>
    <xdr:sp macro="" textlink="">
      <xdr:nvSpPr>
        <xdr:cNvPr id="54" name="Rectangle 53">
          <a:extLst>
            <a:ext uri="{FF2B5EF4-FFF2-40B4-BE49-F238E27FC236}">
              <a16:creationId xmlns:a16="http://schemas.microsoft.com/office/drawing/2014/main" id="{48541FF3-6469-2F8E-D84E-67F7D950CFEE}"/>
            </a:ext>
          </a:extLst>
        </xdr:cNvPr>
        <xdr:cNvSpPr/>
      </xdr:nvSpPr>
      <xdr:spPr>
        <a:xfrm>
          <a:off x="7422444" y="1392061"/>
          <a:ext cx="2300112" cy="323849"/>
        </a:xfrm>
        <a:prstGeom prst="rect">
          <a:avLst/>
        </a:prstGeom>
        <a:noFill/>
      </xdr:spPr>
      <xdr:txBody>
        <a:bodyPr wrap="none" lIns="91440" tIns="45720" rIns="91440" bIns="45720">
          <a:noAutofit/>
        </a:bodyPr>
        <a:lstStyle/>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190500</xdr:colOff>
      <xdr:row>4</xdr:row>
      <xdr:rowOff>42332</xdr:rowOff>
    </xdr:from>
    <xdr:ext cx="1495778" cy="254002"/>
    <xdr:sp macro="" textlink="'Pivot Table'!H8">
      <xdr:nvSpPr>
        <xdr:cNvPr id="55" name="Rectangle 54">
          <a:extLst>
            <a:ext uri="{FF2B5EF4-FFF2-40B4-BE49-F238E27FC236}">
              <a16:creationId xmlns:a16="http://schemas.microsoft.com/office/drawing/2014/main" id="{2B89FDCE-A606-B2CE-99CB-3B4DC08F2336}"/>
            </a:ext>
          </a:extLst>
        </xdr:cNvPr>
        <xdr:cNvSpPr/>
      </xdr:nvSpPr>
      <xdr:spPr>
        <a:xfrm>
          <a:off x="8685389" y="776110"/>
          <a:ext cx="1495778" cy="254002"/>
        </a:xfrm>
        <a:prstGeom prst="rect">
          <a:avLst/>
        </a:prstGeom>
        <a:noFill/>
      </xdr:spPr>
      <xdr:txBody>
        <a:bodyPr wrap="none" lIns="91440" tIns="45720" rIns="91440" bIns="45720">
          <a:noAutofit/>
        </a:bodyPr>
        <a:lstStyle/>
        <a:p>
          <a:pPr algn="ctr"/>
          <a:fld id="{A70AA21A-AC3C-4F36-9A3D-B6394632AB51}"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East</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218722</xdr:colOff>
      <xdr:row>0</xdr:row>
      <xdr:rowOff>112890</xdr:rowOff>
    </xdr:from>
    <xdr:ext cx="2151945" cy="246943"/>
    <xdr:sp macro="" textlink="'Pivot Table'!D4">
      <xdr:nvSpPr>
        <xdr:cNvPr id="59" name="Rectangle 58">
          <a:extLst>
            <a:ext uri="{FF2B5EF4-FFF2-40B4-BE49-F238E27FC236}">
              <a16:creationId xmlns:a16="http://schemas.microsoft.com/office/drawing/2014/main" id="{46F002F6-D01C-4B34-859B-9F67EDF042B3}"/>
            </a:ext>
          </a:extLst>
        </xdr:cNvPr>
        <xdr:cNvSpPr/>
      </xdr:nvSpPr>
      <xdr:spPr>
        <a:xfrm>
          <a:off x="10533944" y="112890"/>
          <a:ext cx="2151945" cy="246943"/>
        </a:xfrm>
        <a:prstGeom prst="rect">
          <a:avLst/>
        </a:prstGeom>
        <a:noFill/>
      </xdr:spPr>
      <xdr:txBody>
        <a:bodyPr wrap="none" lIns="91440" tIns="45720" rIns="91440" bIns="45720">
          <a:noAutofit/>
        </a:bodyPr>
        <a:lstStyle/>
        <a:p>
          <a:pPr algn="ctr"/>
          <a:fld id="{CEBD7C42-D5AB-4DF9-95B5-AC25D7FD32F1}"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6,31,240</a:t>
          </a:fld>
          <a:endParaRPr lang="en-US" b="0" cap="none" spc="0">
            <a:ln w="0"/>
            <a:effectLst>
              <a:outerShdw blurRad="38100" dist="19050" dir="2700000" algn="tl" rotWithShape="0">
                <a:schemeClr val="dk1">
                  <a:alpha val="40000"/>
                </a:schemeClr>
              </a:outerShdw>
            </a:effectLst>
          </a:endParaRPr>
        </a:p>
      </xdr:txBody>
    </xdr:sp>
    <xdr:clientData/>
  </xdr:oneCellAnchor>
  <xdr:oneCellAnchor>
    <xdr:from>
      <xdr:col>14</xdr:col>
      <xdr:colOff>70554</xdr:colOff>
      <xdr:row>0</xdr:row>
      <xdr:rowOff>47273</xdr:rowOff>
    </xdr:from>
    <xdr:ext cx="1524001" cy="256116"/>
    <xdr:sp macro="" textlink="'Pivot Table'!A8">
      <xdr:nvSpPr>
        <xdr:cNvPr id="60" name="Rectangle 59">
          <a:extLst>
            <a:ext uri="{FF2B5EF4-FFF2-40B4-BE49-F238E27FC236}">
              <a16:creationId xmlns:a16="http://schemas.microsoft.com/office/drawing/2014/main" id="{1440FF4F-C89E-461D-BABC-48D4255AAAD9}"/>
            </a:ext>
          </a:extLst>
        </xdr:cNvPr>
        <xdr:cNvSpPr/>
      </xdr:nvSpPr>
      <xdr:spPr>
        <a:xfrm>
          <a:off x="8565443" y="47273"/>
          <a:ext cx="1524001" cy="256116"/>
        </a:xfrm>
        <a:prstGeom prst="rect">
          <a:avLst/>
        </a:prstGeom>
        <a:noFill/>
      </xdr:spPr>
      <xdr:txBody>
        <a:bodyPr wrap="none" lIns="91440" tIns="45720" rIns="91440" bIns="45720">
          <a:noAutofit/>
        </a:bodyPr>
        <a:lstStyle/>
        <a:p>
          <a:pPr algn="ctr"/>
          <a:fld id="{B020FCC5-C5E6-4AAB-A253-608FCDACA54C}"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102.2941176</a:t>
          </a:fld>
          <a:endParaRPr lang="en-US" b="0" cap="none" spc="0">
            <a:ln w="0"/>
            <a:effectLst>
              <a:outerShdw blurRad="38100" dist="19050" dir="2700000" algn="tl" rotWithShape="0">
                <a:schemeClr val="dk1">
                  <a:alpha val="40000"/>
                </a:schemeClr>
              </a:outerShdw>
            </a:effectLst>
          </a:endParaRPr>
        </a:p>
      </xdr:txBody>
    </xdr:sp>
    <xdr:clientData/>
  </xdr:oneCellAnchor>
  <xdr:oneCellAnchor>
    <xdr:from>
      <xdr:col>11</xdr:col>
      <xdr:colOff>289278</xdr:colOff>
      <xdr:row>0</xdr:row>
      <xdr:rowOff>50094</xdr:rowOff>
    </xdr:from>
    <xdr:ext cx="1121833" cy="288573"/>
    <xdr:sp macro="" textlink="'Pivot Table'!A4">
      <xdr:nvSpPr>
        <xdr:cNvPr id="61" name="Rectangle 60">
          <a:extLst>
            <a:ext uri="{FF2B5EF4-FFF2-40B4-BE49-F238E27FC236}">
              <a16:creationId xmlns:a16="http://schemas.microsoft.com/office/drawing/2014/main" id="{87A89E73-1F3A-4584-88E3-4CF70CE16E38}"/>
            </a:ext>
          </a:extLst>
        </xdr:cNvPr>
        <xdr:cNvSpPr/>
      </xdr:nvSpPr>
      <xdr:spPr>
        <a:xfrm>
          <a:off x="6963834" y="50094"/>
          <a:ext cx="1121833" cy="288573"/>
        </a:xfrm>
        <a:prstGeom prst="rect">
          <a:avLst/>
        </a:prstGeom>
        <a:noFill/>
      </xdr:spPr>
      <xdr:txBody>
        <a:bodyPr wrap="none" lIns="91440" tIns="45720" rIns="91440" bIns="45720">
          <a:noAutofit/>
        </a:bodyPr>
        <a:lstStyle/>
        <a:p>
          <a:pPr algn="ctr"/>
          <a:fld id="{2FC8E967-B2F7-4858-A84A-F646F5EAB772}"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15,41,53,925</a:t>
          </a:fld>
          <a:endParaRPr lang="en-US" b="0" cap="none" spc="0">
            <a:ln w="0"/>
            <a:effectLst>
              <a:outerShdw blurRad="38100" dist="19050" dir="2700000" algn="tl" rotWithShape="0">
                <a:schemeClr val="dk1">
                  <a:alpha val="40000"/>
                </a:schemeClr>
              </a:outerShdw>
            </a:effectLst>
          </a:endParaRPr>
        </a:p>
      </xdr:txBody>
    </xdr:sp>
    <xdr:clientData/>
  </xdr:oneCellAnchor>
  <xdr:twoCellAnchor editAs="oneCell">
    <xdr:from>
      <xdr:col>2</xdr:col>
      <xdr:colOff>111124</xdr:colOff>
      <xdr:row>12</xdr:row>
      <xdr:rowOff>134938</xdr:rowOff>
    </xdr:from>
    <xdr:to>
      <xdr:col>3</xdr:col>
      <xdr:colOff>555625</xdr:colOff>
      <xdr:row>20</xdr:row>
      <xdr:rowOff>95250</xdr:rowOff>
    </xdr:to>
    <mc:AlternateContent xmlns:mc="http://schemas.openxmlformats.org/markup-compatibility/2006">
      <mc:Choice xmlns:a14="http://schemas.microsoft.com/office/drawing/2010/main" Requires="a14">
        <xdr:graphicFrame macro="">
          <xdr:nvGraphicFramePr>
            <xdr:cNvPr id="62" name="Region 2">
              <a:extLst>
                <a:ext uri="{FF2B5EF4-FFF2-40B4-BE49-F238E27FC236}">
                  <a16:creationId xmlns:a16="http://schemas.microsoft.com/office/drawing/2014/main" id="{8696FB4D-DF80-470B-B27B-F679FF3F40A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326695" y="2312081"/>
              <a:ext cx="1052287" cy="141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92602</xdr:colOff>
      <xdr:row>4</xdr:row>
      <xdr:rowOff>9702</xdr:rowOff>
    </xdr:from>
    <xdr:to>
      <xdr:col>3</xdr:col>
      <xdr:colOff>551216</xdr:colOff>
      <xdr:row>12</xdr:row>
      <xdr:rowOff>94368</xdr:rowOff>
    </xdr:to>
    <mc:AlternateContent xmlns:mc="http://schemas.openxmlformats.org/markup-compatibility/2006">
      <mc:Choice xmlns:a14="http://schemas.microsoft.com/office/drawing/2010/main" Requires="a14">
        <xdr:graphicFrame macro="">
          <xdr:nvGraphicFramePr>
            <xdr:cNvPr id="63" name="Product 1">
              <a:extLst>
                <a:ext uri="{FF2B5EF4-FFF2-40B4-BE49-F238E27FC236}">
                  <a16:creationId xmlns:a16="http://schemas.microsoft.com/office/drawing/2014/main" id="{1BEF2BB3-C3CE-48A7-A17A-B358A8170D9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308173" y="735416"/>
              <a:ext cx="1066400" cy="1536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59970</xdr:colOff>
      <xdr:row>3</xdr:row>
      <xdr:rowOff>174624</xdr:rowOff>
    </xdr:from>
    <xdr:to>
      <xdr:col>2</xdr:col>
      <xdr:colOff>63500</xdr:colOff>
      <xdr:row>20</xdr:row>
      <xdr:rowOff>68790</xdr:rowOff>
    </xdr:to>
    <mc:AlternateContent xmlns:mc="http://schemas.openxmlformats.org/markup-compatibility/2006">
      <mc:Choice xmlns:a14="http://schemas.microsoft.com/office/drawing/2010/main" Requires="a14">
        <xdr:graphicFrame macro="">
          <xdr:nvGraphicFramePr>
            <xdr:cNvPr id="4" name="Month 1">
              <a:extLst>
                <a:ext uri="{FF2B5EF4-FFF2-40B4-BE49-F238E27FC236}">
                  <a16:creationId xmlns:a16="http://schemas.microsoft.com/office/drawing/2014/main" id="{08352165-79DF-41B3-951E-98839579FD9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9970" y="718910"/>
              <a:ext cx="1219101" cy="2978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119944</xdr:colOff>
      <xdr:row>4</xdr:row>
      <xdr:rowOff>84667</xdr:rowOff>
    </xdr:from>
    <xdr:to>
      <xdr:col>21</xdr:col>
      <xdr:colOff>543278</xdr:colOff>
      <xdr:row>6</xdr:row>
      <xdr:rowOff>134056</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9B002742-2884-4B96-A66F-28A2F4CF23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35166" y="818445"/>
              <a:ext cx="2483556" cy="416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204612</xdr:colOff>
      <xdr:row>7</xdr:row>
      <xdr:rowOff>63501</xdr:rowOff>
    </xdr:from>
    <xdr:to>
      <xdr:col>21</xdr:col>
      <xdr:colOff>562428</xdr:colOff>
      <xdr:row>20</xdr:row>
      <xdr:rowOff>108858</xdr:rowOff>
    </xdr:to>
    <xdr:graphicFrame macro="">
      <xdr:nvGraphicFramePr>
        <xdr:cNvPr id="24" name="Chart 23">
          <a:extLst>
            <a:ext uri="{FF2B5EF4-FFF2-40B4-BE49-F238E27FC236}">
              <a16:creationId xmlns:a16="http://schemas.microsoft.com/office/drawing/2014/main" id="{9FB00E0C-C039-48FB-B871-494D0DCF0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21165</xdr:colOff>
      <xdr:row>7</xdr:row>
      <xdr:rowOff>56446</xdr:rowOff>
    </xdr:from>
    <xdr:to>
      <xdr:col>16</xdr:col>
      <xdr:colOff>105834</xdr:colOff>
      <xdr:row>20</xdr:row>
      <xdr:rowOff>84668</xdr:rowOff>
    </xdr:to>
    <xdr:graphicFrame macro="">
      <xdr:nvGraphicFramePr>
        <xdr:cNvPr id="25" name="Chart 24">
          <a:extLst>
            <a:ext uri="{FF2B5EF4-FFF2-40B4-BE49-F238E27FC236}">
              <a16:creationId xmlns:a16="http://schemas.microsoft.com/office/drawing/2014/main" id="{4D3212D7-A6B7-4DC7-8708-E7DD5001A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155221</xdr:colOff>
      <xdr:row>5</xdr:row>
      <xdr:rowOff>14112</xdr:rowOff>
    </xdr:from>
    <xdr:ext cx="1488723" cy="296333"/>
    <xdr:sp macro="" textlink="">
      <xdr:nvSpPr>
        <xdr:cNvPr id="39" name="Rectangle 38">
          <a:extLst>
            <a:ext uri="{FF2B5EF4-FFF2-40B4-BE49-F238E27FC236}">
              <a16:creationId xmlns:a16="http://schemas.microsoft.com/office/drawing/2014/main" id="{1C104167-35EC-3666-97B6-77ADAF7F8780}"/>
            </a:ext>
          </a:extLst>
        </xdr:cNvPr>
        <xdr:cNvSpPr/>
      </xdr:nvSpPr>
      <xdr:spPr>
        <a:xfrm>
          <a:off x="8650110" y="931334"/>
          <a:ext cx="1488723" cy="296333"/>
        </a:xfrm>
        <a:prstGeom prst="rect">
          <a:avLst/>
        </a:prstGeom>
        <a:noFill/>
      </xdr:spPr>
      <xdr:txBody>
        <a:bodyPr wrap="square" lIns="91440" tIns="45720" rIns="91440" bIns="45720">
          <a:noAutofit/>
        </a:bodyPr>
        <a:lstStyle/>
        <a:p>
          <a:pPr algn="ctr"/>
          <a:r>
            <a:rPr lang="en-IN" sz="1800" b="0" cap="none" spc="0">
              <a:ln w="0"/>
              <a:solidFill>
                <a:schemeClr val="tx1"/>
              </a:solidFill>
              <a:effectLst>
                <a:outerShdw blurRad="38100" dist="19050" dir="2700000" algn="tl" rotWithShape="0">
                  <a:schemeClr val="dk1">
                    <a:alpha val="40000"/>
                  </a:schemeClr>
                </a:outerShdw>
              </a:effectLst>
            </a:rPr>
            <a:t>Top</a:t>
          </a:r>
          <a:r>
            <a:rPr lang="en-IN" sz="1800" b="0" cap="none" spc="0" baseline="0">
              <a:ln w="0"/>
              <a:solidFill>
                <a:schemeClr val="tx1"/>
              </a:solidFill>
              <a:effectLst>
                <a:outerShdw blurRad="38100" dist="19050" dir="2700000" algn="tl" rotWithShape="0">
                  <a:schemeClr val="dk1">
                    <a:alpha val="40000"/>
                  </a:schemeClr>
                </a:outerShdw>
              </a:effectLst>
            </a:rPr>
            <a:t> Region</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4</xdr:col>
      <xdr:colOff>42332</xdr:colOff>
      <xdr:row>4</xdr:row>
      <xdr:rowOff>7056</xdr:rowOff>
    </xdr:from>
    <xdr:to>
      <xdr:col>10</xdr:col>
      <xdr:colOff>563562</xdr:colOff>
      <xdr:row>20</xdr:row>
      <xdr:rowOff>84667</xdr:rowOff>
    </xdr:to>
    <xdr:graphicFrame macro="">
      <xdr:nvGraphicFramePr>
        <xdr:cNvPr id="40" name="Chart 39">
          <a:extLst>
            <a:ext uri="{FF2B5EF4-FFF2-40B4-BE49-F238E27FC236}">
              <a16:creationId xmlns:a16="http://schemas.microsoft.com/office/drawing/2014/main" id="{D8EDAFA2-48A3-4BA5-A166-5DB8A9E0C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49389</xdr:colOff>
      <xdr:row>20</xdr:row>
      <xdr:rowOff>148167</xdr:rowOff>
    </xdr:from>
    <xdr:to>
      <xdr:col>21</xdr:col>
      <xdr:colOff>571500</xdr:colOff>
      <xdr:row>28</xdr:row>
      <xdr:rowOff>172357</xdr:rowOff>
    </xdr:to>
    <xdr:sp macro="" textlink="">
      <xdr:nvSpPr>
        <xdr:cNvPr id="13" name="Rectangle 12">
          <a:extLst>
            <a:ext uri="{FF2B5EF4-FFF2-40B4-BE49-F238E27FC236}">
              <a16:creationId xmlns:a16="http://schemas.microsoft.com/office/drawing/2014/main" id="{06412B40-1904-8840-06CA-16E9627AEE89}"/>
            </a:ext>
          </a:extLst>
        </xdr:cNvPr>
        <xdr:cNvSpPr/>
      </xdr:nvSpPr>
      <xdr:spPr>
        <a:xfrm>
          <a:off x="49389" y="3776738"/>
          <a:ext cx="12922754" cy="147561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67532</xdr:colOff>
      <xdr:row>20</xdr:row>
      <xdr:rowOff>166311</xdr:rowOff>
    </xdr:from>
    <xdr:to>
      <xdr:col>21</xdr:col>
      <xdr:colOff>553357</xdr:colOff>
      <xdr:row>28</xdr:row>
      <xdr:rowOff>172357</xdr:rowOff>
    </xdr:to>
    <xdr:graphicFrame macro="">
      <xdr:nvGraphicFramePr>
        <xdr:cNvPr id="26" name="Chart 25">
          <a:extLst>
            <a:ext uri="{FF2B5EF4-FFF2-40B4-BE49-F238E27FC236}">
              <a16:creationId xmlns:a16="http://schemas.microsoft.com/office/drawing/2014/main" id="{C905E625-4A52-44C7-8B60-8CBAD1891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18143</xdr:colOff>
      <xdr:row>0</xdr:row>
      <xdr:rowOff>36286</xdr:rowOff>
    </xdr:from>
    <xdr:to>
      <xdr:col>27</xdr:col>
      <xdr:colOff>943430</xdr:colOff>
      <xdr:row>29</xdr:row>
      <xdr:rowOff>0</xdr:rowOff>
    </xdr:to>
    <xdr:sp macro="" textlink="">
      <xdr:nvSpPr>
        <xdr:cNvPr id="7" name="Rectangle 6">
          <a:extLst>
            <a:ext uri="{FF2B5EF4-FFF2-40B4-BE49-F238E27FC236}">
              <a16:creationId xmlns:a16="http://schemas.microsoft.com/office/drawing/2014/main" id="{F1503E02-DCA7-E116-5280-68E6497FF3FB}"/>
            </a:ext>
          </a:extLst>
        </xdr:cNvPr>
        <xdr:cNvSpPr/>
      </xdr:nvSpPr>
      <xdr:spPr>
        <a:xfrm>
          <a:off x="13026572" y="36286"/>
          <a:ext cx="3755572" cy="522514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81643</xdr:colOff>
      <xdr:row>29</xdr:row>
      <xdr:rowOff>63501</xdr:rowOff>
    </xdr:from>
    <xdr:to>
      <xdr:col>27</xdr:col>
      <xdr:colOff>889000</xdr:colOff>
      <xdr:row>34</xdr:row>
      <xdr:rowOff>127001</xdr:rowOff>
    </xdr:to>
    <xdr:sp macro="" textlink="">
      <xdr:nvSpPr>
        <xdr:cNvPr id="28" name="Rectangle: Rounded Corners 27">
          <a:extLst>
            <a:ext uri="{FF2B5EF4-FFF2-40B4-BE49-F238E27FC236}">
              <a16:creationId xmlns:a16="http://schemas.microsoft.com/office/drawing/2014/main" id="{CF2C4DF9-F75F-6493-DA4B-F6842AAC63E6}"/>
            </a:ext>
          </a:extLst>
        </xdr:cNvPr>
        <xdr:cNvSpPr/>
      </xdr:nvSpPr>
      <xdr:spPr>
        <a:xfrm>
          <a:off x="81643" y="5324930"/>
          <a:ext cx="16646071" cy="970642"/>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36286</xdr:colOff>
      <xdr:row>0</xdr:row>
      <xdr:rowOff>72571</xdr:rowOff>
    </xdr:from>
    <xdr:to>
      <xdr:col>27</xdr:col>
      <xdr:colOff>907143</xdr:colOff>
      <xdr:row>28</xdr:row>
      <xdr:rowOff>172357</xdr:rowOff>
    </xdr:to>
    <xdr:graphicFrame macro="">
      <xdr:nvGraphicFramePr>
        <xdr:cNvPr id="29" name="Chart 28">
          <a:extLst>
            <a:ext uri="{FF2B5EF4-FFF2-40B4-BE49-F238E27FC236}">
              <a16:creationId xmlns:a16="http://schemas.microsoft.com/office/drawing/2014/main" id="{E0A59627-337C-48BF-885C-74B0499C3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117929</xdr:colOff>
      <xdr:row>30</xdr:row>
      <xdr:rowOff>127000</xdr:rowOff>
    </xdr:from>
    <xdr:ext cx="16591642" cy="489857"/>
    <xdr:sp macro="" textlink="">
      <xdr:nvSpPr>
        <xdr:cNvPr id="30" name="Rectangle 29">
          <a:extLst>
            <a:ext uri="{FF2B5EF4-FFF2-40B4-BE49-F238E27FC236}">
              <a16:creationId xmlns:a16="http://schemas.microsoft.com/office/drawing/2014/main" id="{BA2D1C4C-2951-9587-F9E2-75C660991D0D}"/>
            </a:ext>
          </a:extLst>
        </xdr:cNvPr>
        <xdr:cNvSpPr/>
      </xdr:nvSpPr>
      <xdr:spPr>
        <a:xfrm>
          <a:off x="117929" y="5569857"/>
          <a:ext cx="16591642" cy="489857"/>
        </a:xfrm>
        <a:prstGeom prst="rect">
          <a:avLst/>
        </a:prstGeom>
        <a:noFill/>
      </xdr:spPr>
      <xdr:txBody>
        <a:bodyPr wrap="none" lIns="91440" tIns="45720" rIns="91440" bIns="45720">
          <a:noAutofit/>
        </a:bodyPr>
        <a:lstStyle/>
        <a:p>
          <a:pPr algn="ctr"/>
          <a:r>
            <a:rPr lang="en-IN" sz="2000">
              <a:latin typeface="Bell MT" panose="02020503060305020303" pitchFamily="18" charset="0"/>
            </a:rPr>
            <a:t>This dashboard highlights sales and profitability insights across products, regions, and channels-empowering data-driven business decisions.</a:t>
          </a:r>
          <a:endParaRPr lang="en-US"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Bell MT" panose="02020503060305020303"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uri dedeepya" refreshedDate="45961.667614004633" createdVersion="8" refreshedVersion="8" minRefreshableVersion="3" recordCount="100" xr:uid="{1AB3B0B2-D25C-47A9-BCF3-63B6BD20A71F}">
  <cacheSource type="worksheet">
    <worksheetSource name="Table1"/>
  </cacheSource>
  <cacheFields count="13">
    <cacheField name="Date" numFmtId="166">
      <sharedItems containsSemiMixedTypes="0" containsNonDate="0" containsDate="1" containsString="0" minDate="2022-01-02T00:00:00" maxDate="2024-01-01T00:00:00"/>
    </cacheField>
    <cacheField name="Year" numFmtId="0">
      <sharedItems containsSemiMixedTypes="0" containsString="0" containsNumber="1" containsInteger="1" minValue="2022" maxValue="2023" count="2">
        <n v="2022"/>
        <n v="2023"/>
      </sharedItems>
    </cacheField>
    <cacheField name="Month" numFmtId="0">
      <sharedItems count="12">
        <s v="April"/>
        <s v="March"/>
        <s v="September"/>
        <s v="December"/>
        <s v="January"/>
        <s v="May"/>
        <s v="August"/>
        <s v="November"/>
        <s v="October"/>
        <s v="February"/>
        <s v="July"/>
        <s v="June"/>
      </sharedItems>
    </cacheField>
    <cacheField name="Region" numFmtId="0">
      <sharedItems count="4">
        <s v="West"/>
        <s v="North"/>
        <s v="East"/>
        <s v="South"/>
      </sharedItems>
    </cacheField>
    <cacheField name="Product" numFmtId="0">
      <sharedItems count="5">
        <s v="Mobile"/>
        <s v="Monitor"/>
        <s v="Laptop"/>
        <s v="Tablet"/>
        <s v="Headphones"/>
      </sharedItems>
    </cacheField>
    <cacheField name="Channel" numFmtId="0">
      <sharedItems count="3">
        <s v="Distributor"/>
        <s v="Online"/>
        <s v="Retail"/>
      </sharedItems>
    </cacheField>
    <cacheField name="UnitsSold" numFmtId="1">
      <sharedItems containsSemiMixedTypes="0" containsString="0" containsNumber="1" containsInteger="1" minValue="10" maxValue="199"/>
    </cacheField>
    <cacheField name="Discount %" numFmtId="9">
      <sharedItems containsSemiMixedTypes="0" containsString="0" containsNumber="1" minValue="0.02" maxValue="0.28999999999999998"/>
    </cacheField>
    <cacheField name="Price(₹)" numFmtId="164">
      <sharedItems containsSemiMixedTypes="0" containsString="0" containsNumber="1" containsInteger="1" minValue="5417" maxValue="67752"/>
    </cacheField>
    <cacheField name="CostPerUnit" numFmtId="164">
      <sharedItems containsSemiMixedTypes="0" containsString="0" containsNumber="1" containsInteger="1" minValue="3009" maxValue="39487"/>
    </cacheField>
    <cacheField name="Revenue" numFmtId="164">
      <sharedItems containsSemiMixedTypes="0" containsString="0" containsNumber="1" minValue="289808.64000000001" maxValue="9111703.8599999994"/>
    </cacheField>
    <cacheField name="profit margin %" numFmtId="10">
      <sharedItems containsSemiMixedTypes="0" containsString="0" containsNumber="1" minValue="-4.0590398494375561" maxValue="0.90108891208592612"/>
    </cacheField>
    <cacheField name="Profit" numFmtId="164">
      <sharedItems containsSemiMixedTypes="0" containsString="0" containsNumber="1" minValue="-4515425.22" maxValue="5245918.5999999996"/>
    </cacheField>
  </cacheFields>
  <extLst>
    <ext xmlns:x14="http://schemas.microsoft.com/office/spreadsheetml/2009/9/main" uri="{725AE2AE-9491-48be-B2B4-4EB974FC3084}">
      <x14:pivotCacheDefinition pivotCacheId="746726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2-04-13T00:00:00"/>
    <x v="0"/>
    <x v="0"/>
    <x v="0"/>
    <x v="0"/>
    <x v="0"/>
    <n v="35"/>
    <n v="0.28000000000000003"/>
    <n v="32932"/>
    <n v="30569"/>
    <n v="829886.4"/>
    <n v="-0.289230670607447"/>
    <n v="-240028.6"/>
  </r>
  <r>
    <d v="2023-03-12T00:00:00"/>
    <x v="1"/>
    <x v="1"/>
    <x v="1"/>
    <x v="1"/>
    <x v="1"/>
    <n v="108"/>
    <n v="0.23"/>
    <n v="66389"/>
    <n v="26322"/>
    <n v="5520909.2400000002"/>
    <n v="0.48508916259597851"/>
    <n v="2678133.2400000002"/>
  </r>
  <r>
    <d v="2022-09-28T00:00:00"/>
    <x v="0"/>
    <x v="2"/>
    <x v="0"/>
    <x v="2"/>
    <x v="2"/>
    <n v="59"/>
    <n v="0.03"/>
    <n v="14435"/>
    <n v="22065"/>
    <n v="826115.04999999993"/>
    <n v="-0.57585193490906639"/>
    <n v="-475719.95000000013"/>
  </r>
  <r>
    <d v="2022-04-17T00:00:00"/>
    <x v="0"/>
    <x v="0"/>
    <x v="0"/>
    <x v="2"/>
    <x v="2"/>
    <n v="162"/>
    <n v="0.24"/>
    <n v="59340"/>
    <n v="20924"/>
    <n v="7305940.7999999998"/>
    <n v="0.53603675518421934"/>
    <n v="3916252.8"/>
  </r>
  <r>
    <d v="2022-03-13T00:00:00"/>
    <x v="0"/>
    <x v="1"/>
    <x v="0"/>
    <x v="2"/>
    <x v="0"/>
    <n v="161"/>
    <n v="0.2"/>
    <n v="49078"/>
    <n v="25556"/>
    <n v="6321246.4000000004"/>
    <n v="0.34909735523044944"/>
    <n v="2206730.4"/>
  </r>
  <r>
    <d v="2023-12-02T00:00:00"/>
    <x v="1"/>
    <x v="3"/>
    <x v="2"/>
    <x v="2"/>
    <x v="2"/>
    <n v="22"/>
    <n v="0.28000000000000003"/>
    <n v="18296"/>
    <n v="29962"/>
    <n v="289808.64000000001"/>
    <n v="-1.2744801535247534"/>
    <n v="-369355.36"/>
  </r>
  <r>
    <d v="2022-01-21T00:00:00"/>
    <x v="0"/>
    <x v="4"/>
    <x v="2"/>
    <x v="3"/>
    <x v="1"/>
    <n v="69"/>
    <n v="0.24"/>
    <n v="56293"/>
    <n v="31295"/>
    <n v="2952004.92"/>
    <n v="0.26851239800779192"/>
    <n v="792649.91999999993"/>
  </r>
  <r>
    <d v="2023-09-07T00:00:00"/>
    <x v="1"/>
    <x v="2"/>
    <x v="2"/>
    <x v="2"/>
    <x v="0"/>
    <n v="144"/>
    <n v="0.03"/>
    <n v="35445"/>
    <n v="16807"/>
    <n v="4950957.5999999996"/>
    <n v="0.51116365852133339"/>
    <n v="2530749.6"/>
  </r>
  <r>
    <d v="2022-05-02T00:00:00"/>
    <x v="0"/>
    <x v="5"/>
    <x v="1"/>
    <x v="1"/>
    <x v="1"/>
    <n v="66"/>
    <n v="0.09"/>
    <n v="18245"/>
    <n v="29432"/>
    <n v="1095794.7"/>
    <n v="-0.7726970207101751"/>
    <n v="-846717.3"/>
  </r>
  <r>
    <d v="2023-04-12T00:00:00"/>
    <x v="1"/>
    <x v="0"/>
    <x v="0"/>
    <x v="4"/>
    <x v="1"/>
    <n v="45"/>
    <n v="0.04"/>
    <n v="65403"/>
    <n v="20749"/>
    <n v="2825409.6"/>
    <n v="0.66953287056149313"/>
    <n v="1891704.6"/>
  </r>
  <r>
    <d v="2022-08-03T00:00:00"/>
    <x v="0"/>
    <x v="6"/>
    <x v="2"/>
    <x v="2"/>
    <x v="2"/>
    <n v="182"/>
    <n v="0.08"/>
    <n v="34124"/>
    <n v="29256"/>
    <n v="5713722.5600000015"/>
    <n v="6.8104559840581488E-2"/>
    <n v="389130.56000000052"/>
  </r>
  <r>
    <d v="2022-11-27T00:00:00"/>
    <x v="0"/>
    <x v="7"/>
    <x v="2"/>
    <x v="3"/>
    <x v="2"/>
    <n v="29"/>
    <n v="0.23"/>
    <n v="34899"/>
    <n v="4324"/>
    <n v="779294.67"/>
    <n v="0.83909039182829259"/>
    <n v="653898.67000000004"/>
  </r>
  <r>
    <d v="2023-04-04T00:00:00"/>
    <x v="1"/>
    <x v="0"/>
    <x v="1"/>
    <x v="3"/>
    <x v="2"/>
    <n v="74"/>
    <n v="0.02"/>
    <n v="48919"/>
    <n v="28731"/>
    <n v="3547605.88"/>
    <n v="0.4006961111474987"/>
    <n v="1421511.88"/>
  </r>
  <r>
    <d v="2022-03-29T00:00:00"/>
    <x v="0"/>
    <x v="1"/>
    <x v="2"/>
    <x v="2"/>
    <x v="2"/>
    <n v="17"/>
    <n v="0.16"/>
    <n v="48225"/>
    <n v="38909"/>
    <n v="688653"/>
    <n v="3.9497395640474955E-2"/>
    <n v="27200"/>
  </r>
  <r>
    <d v="2023-01-08T00:00:00"/>
    <x v="1"/>
    <x v="4"/>
    <x v="1"/>
    <x v="4"/>
    <x v="2"/>
    <n v="153"/>
    <n v="0.02"/>
    <n v="60769"/>
    <n v="26803"/>
    <n v="9111703.8599999994"/>
    <n v="0.54993499975316362"/>
    <n v="5010844.8599999994"/>
  </r>
  <r>
    <d v="2022-04-10T00:00:00"/>
    <x v="0"/>
    <x v="0"/>
    <x v="3"/>
    <x v="2"/>
    <x v="0"/>
    <n v="151"/>
    <n v="0.15"/>
    <n v="40247"/>
    <n v="22870"/>
    <n v="5165702.45"/>
    <n v="0.33148104571915477"/>
    <n v="1712332.45"/>
  </r>
  <r>
    <d v="2023-10-26T00:00:00"/>
    <x v="1"/>
    <x v="8"/>
    <x v="2"/>
    <x v="3"/>
    <x v="1"/>
    <n v="124"/>
    <n v="0.03"/>
    <n v="60636"/>
    <n v="37578"/>
    <n v="7293298.0800000001"/>
    <n v="0.36110221344470267"/>
    <n v="2633626.08"/>
  </r>
  <r>
    <d v="2022-05-11T00:00:00"/>
    <x v="0"/>
    <x v="5"/>
    <x v="3"/>
    <x v="0"/>
    <x v="1"/>
    <n v="152"/>
    <n v="0.17"/>
    <n v="34222"/>
    <n v="9588"/>
    <n v="4317447.5199999996"/>
    <n v="0.66244499944726609"/>
    <n v="2860071.52"/>
  </r>
  <r>
    <d v="2023-10-24T00:00:00"/>
    <x v="1"/>
    <x v="8"/>
    <x v="1"/>
    <x v="1"/>
    <x v="1"/>
    <n v="101"/>
    <n v="0.16"/>
    <n v="31211"/>
    <n v="29790"/>
    <n v="2647941.2400000002"/>
    <n v="-0.13627521432462003"/>
    <n v="-360848.76000000018"/>
  </r>
  <r>
    <d v="2022-11-05T00:00:00"/>
    <x v="0"/>
    <x v="7"/>
    <x v="0"/>
    <x v="3"/>
    <x v="1"/>
    <n v="107"/>
    <n v="0.06"/>
    <n v="67752"/>
    <n v="28289"/>
    <n v="6814496.1599999992"/>
    <n v="0.55581118120404072"/>
    <n v="3787573.1599999992"/>
  </r>
  <r>
    <d v="2022-12-10T00:00:00"/>
    <x v="0"/>
    <x v="3"/>
    <x v="2"/>
    <x v="2"/>
    <x v="2"/>
    <n v="75"/>
    <n v="0.23"/>
    <n v="61573"/>
    <n v="31178"/>
    <n v="3555840.75"/>
    <n v="0.34239180986943807"/>
    <n v="1217490.75"/>
  </r>
  <r>
    <d v="2023-05-07T00:00:00"/>
    <x v="1"/>
    <x v="5"/>
    <x v="1"/>
    <x v="1"/>
    <x v="1"/>
    <n v="41"/>
    <n v="0.22"/>
    <n v="64101"/>
    <n v="31710"/>
    <n v="2049949.98"/>
    <n v="0.36578452514241344"/>
    <n v="749839.98"/>
  </r>
  <r>
    <d v="2023-02-18T00:00:00"/>
    <x v="1"/>
    <x v="9"/>
    <x v="0"/>
    <x v="2"/>
    <x v="0"/>
    <n v="95"/>
    <n v="0.28999999999999998"/>
    <n v="42220"/>
    <n v="18485"/>
    <n v="2847739"/>
    <n v="0.38334411966827014"/>
    <n v="1091664"/>
  </r>
  <r>
    <d v="2023-01-21T00:00:00"/>
    <x v="1"/>
    <x v="4"/>
    <x v="0"/>
    <x v="2"/>
    <x v="0"/>
    <n v="60"/>
    <n v="0.04"/>
    <n v="31646"/>
    <n v="23652"/>
    <n v="1822809.6"/>
    <n v="0.22146558806800221"/>
    <n v="403689.59999999992"/>
  </r>
  <r>
    <d v="2022-07-11T00:00:00"/>
    <x v="0"/>
    <x v="10"/>
    <x v="3"/>
    <x v="0"/>
    <x v="1"/>
    <n v="162"/>
    <n v="0.11"/>
    <n v="43649"/>
    <n v="7748"/>
    <n v="6293312.8200000003"/>
    <n v="0.80055401091598688"/>
    <n v="5038136.82"/>
  </r>
  <r>
    <d v="2022-10-04T00:00:00"/>
    <x v="0"/>
    <x v="8"/>
    <x v="1"/>
    <x v="1"/>
    <x v="1"/>
    <n v="195"/>
    <n v="0.16"/>
    <n v="28049"/>
    <n v="24233"/>
    <n v="4594426.2"/>
    <n v="-2.8514725081447558E-2"/>
    <n v="-131008.7999999998"/>
  </r>
  <r>
    <d v="2022-06-10T00:00:00"/>
    <x v="0"/>
    <x v="11"/>
    <x v="0"/>
    <x v="1"/>
    <x v="0"/>
    <n v="72"/>
    <n v="0.22"/>
    <n v="19069"/>
    <n v="12435"/>
    <n v="1070915.04"/>
    <n v="0.16396729286760228"/>
    <n v="175595.04"/>
  </r>
  <r>
    <d v="2023-04-05T00:00:00"/>
    <x v="1"/>
    <x v="0"/>
    <x v="2"/>
    <x v="0"/>
    <x v="0"/>
    <n v="199"/>
    <n v="0.12"/>
    <n v="37580"/>
    <n v="6709"/>
    <n v="6581009.5999999996"/>
    <n v="0.79712975954327736"/>
    <n v="5245918.5999999996"/>
  </r>
  <r>
    <d v="2022-11-10T00:00:00"/>
    <x v="0"/>
    <x v="7"/>
    <x v="2"/>
    <x v="3"/>
    <x v="2"/>
    <n v="134"/>
    <n v="0.22"/>
    <n v="36843"/>
    <n v="33355"/>
    <n v="3850830.36"/>
    <n v="-0.16067694033657709"/>
    <n v="-618739.63999999966"/>
  </r>
  <r>
    <d v="2022-01-22T00:00:00"/>
    <x v="0"/>
    <x v="4"/>
    <x v="3"/>
    <x v="2"/>
    <x v="0"/>
    <n v="159"/>
    <n v="0.24"/>
    <n v="7849"/>
    <n v="16116"/>
    <n v="948473.16"/>
    <n v="-1.701651568084436"/>
    <n v="-1613970.84"/>
  </r>
  <r>
    <d v="2022-09-10T00:00:00"/>
    <x v="0"/>
    <x v="2"/>
    <x v="0"/>
    <x v="4"/>
    <x v="2"/>
    <n v="67"/>
    <n v="0.02"/>
    <n v="65595"/>
    <n v="28470"/>
    <n v="4306967.7"/>
    <n v="0.55711532268978936"/>
    <n v="2399477.7000000002"/>
  </r>
  <r>
    <d v="2023-07-15T00:00:00"/>
    <x v="1"/>
    <x v="10"/>
    <x v="1"/>
    <x v="2"/>
    <x v="2"/>
    <n v="67"/>
    <n v="0.08"/>
    <n v="45158"/>
    <n v="17683"/>
    <n v="2783539.12"/>
    <n v="0.57436883444986397"/>
    <n v="1598778.12"/>
  </r>
  <r>
    <d v="2023-04-20T00:00:00"/>
    <x v="1"/>
    <x v="0"/>
    <x v="2"/>
    <x v="2"/>
    <x v="2"/>
    <n v="95"/>
    <n v="0.28999999999999998"/>
    <n v="28289"/>
    <n v="3504"/>
    <n v="1908093.05"/>
    <n v="0.8255430991690893"/>
    <n v="1575213.05"/>
  </r>
  <r>
    <d v="2022-02-28T00:00:00"/>
    <x v="0"/>
    <x v="9"/>
    <x v="0"/>
    <x v="3"/>
    <x v="2"/>
    <n v="58"/>
    <n v="0.16"/>
    <n v="49690"/>
    <n v="36982"/>
    <n v="2420896.7999999998"/>
    <n v="0.11398288435921755"/>
    <n v="275940.79999999981"/>
  </r>
  <r>
    <d v="2023-05-26T00:00:00"/>
    <x v="1"/>
    <x v="5"/>
    <x v="0"/>
    <x v="2"/>
    <x v="2"/>
    <n v="189"/>
    <n v="0.16"/>
    <n v="40257"/>
    <n v="37299"/>
    <n v="6391201.3199999994"/>
    <n v="-0.10300249468592873"/>
    <n v="-658309.68000000063"/>
  </r>
  <r>
    <d v="2023-11-13T00:00:00"/>
    <x v="1"/>
    <x v="7"/>
    <x v="3"/>
    <x v="0"/>
    <x v="1"/>
    <n v="179"/>
    <n v="0.28999999999999998"/>
    <n v="14823"/>
    <n v="31016"/>
    <n v="1883855.07"/>
    <n v="-1.9470759658809635"/>
    <n v="-3668008.93"/>
  </r>
  <r>
    <d v="2023-04-21T00:00:00"/>
    <x v="1"/>
    <x v="0"/>
    <x v="2"/>
    <x v="0"/>
    <x v="0"/>
    <n v="79"/>
    <n v="0.19"/>
    <n v="65160"/>
    <n v="26960"/>
    <n v="4169588.4"/>
    <n v="0.4891965835284845"/>
    <n v="2039748.4"/>
  </r>
  <r>
    <d v="2023-12-01T00:00:00"/>
    <x v="1"/>
    <x v="3"/>
    <x v="2"/>
    <x v="1"/>
    <x v="2"/>
    <n v="24"/>
    <n v="0.15"/>
    <n v="46975"/>
    <n v="36591"/>
    <n v="958290"/>
    <n v="8.3592649406755787E-2"/>
    <n v="80106"/>
  </r>
  <r>
    <d v="2022-07-09T00:00:00"/>
    <x v="0"/>
    <x v="10"/>
    <x v="1"/>
    <x v="4"/>
    <x v="0"/>
    <n v="63"/>
    <n v="0.24"/>
    <n v="14540"/>
    <n v="20312"/>
    <n v="696175.2"/>
    <n v="-0.83812350684138148"/>
    <n v="-583480.80000000005"/>
  </r>
  <r>
    <d v="2023-11-18T00:00:00"/>
    <x v="1"/>
    <x v="7"/>
    <x v="2"/>
    <x v="2"/>
    <x v="0"/>
    <n v="197"/>
    <n v="0.21"/>
    <n v="21364"/>
    <n v="5105"/>
    <n v="3324879.32"/>
    <n v="0.6975273677000704"/>
    <n v="2319194.3199999998"/>
  </r>
  <r>
    <d v="2023-07-17T00:00:00"/>
    <x v="1"/>
    <x v="10"/>
    <x v="1"/>
    <x v="2"/>
    <x v="2"/>
    <n v="110"/>
    <n v="0.12"/>
    <n v="9611"/>
    <n v="39395"/>
    <n v="930344.8"/>
    <n v="-3.6578967281807779"/>
    <n v="-3403105.2"/>
  </r>
  <r>
    <d v="2023-07-21T00:00:00"/>
    <x v="1"/>
    <x v="10"/>
    <x v="2"/>
    <x v="3"/>
    <x v="1"/>
    <n v="17"/>
    <n v="0.26"/>
    <n v="32663"/>
    <n v="25700"/>
    <n v="410900.54"/>
    <n v="-6.3274338846086756E-2"/>
    <n v="-25999.460000000021"/>
  </r>
  <r>
    <d v="2022-09-01T00:00:00"/>
    <x v="0"/>
    <x v="2"/>
    <x v="3"/>
    <x v="0"/>
    <x v="2"/>
    <n v="62"/>
    <n v="0.18"/>
    <n v="56991"/>
    <n v="37620"/>
    <n v="2897422.44"/>
    <n v="0.19499484514242957"/>
    <n v="564982.44000000041"/>
  </r>
  <r>
    <d v="2023-05-20T00:00:00"/>
    <x v="1"/>
    <x v="5"/>
    <x v="2"/>
    <x v="4"/>
    <x v="1"/>
    <n v="69"/>
    <n v="0.16"/>
    <n v="62679"/>
    <n v="23559"/>
    <n v="3632874.84"/>
    <n v="0.55253867210024776"/>
    <n v="2007303.84"/>
  </r>
  <r>
    <d v="2022-05-11T00:00:00"/>
    <x v="0"/>
    <x v="5"/>
    <x v="1"/>
    <x v="1"/>
    <x v="0"/>
    <n v="117"/>
    <n v="0.03"/>
    <n v="43646"/>
    <n v="30509"/>
    <n v="4953384.54"/>
    <n v="0.2793709086837825"/>
    <n v="1383831.54"/>
  </r>
  <r>
    <d v="2023-04-30T00:00:00"/>
    <x v="1"/>
    <x v="0"/>
    <x v="1"/>
    <x v="0"/>
    <x v="1"/>
    <n v="14"/>
    <n v="0.11"/>
    <n v="35977"/>
    <n v="30860"/>
    <n v="448273.42"/>
    <n v="3.6213211124585483E-2"/>
    <n v="16233.41999999998"/>
  </r>
  <r>
    <d v="2023-10-09T00:00:00"/>
    <x v="1"/>
    <x v="8"/>
    <x v="3"/>
    <x v="1"/>
    <x v="1"/>
    <n v="112"/>
    <n v="0.28000000000000003"/>
    <n v="34168"/>
    <n v="14003"/>
    <n v="2755307.52"/>
    <n v="0.43079457061838239"/>
    <n v="1186971.52"/>
  </r>
  <r>
    <d v="2022-01-21T00:00:00"/>
    <x v="0"/>
    <x v="4"/>
    <x v="2"/>
    <x v="3"/>
    <x v="1"/>
    <n v="15"/>
    <n v="0.08"/>
    <n v="54115"/>
    <n v="24732"/>
    <n v="746787"/>
    <n v="0.50323184522494369"/>
    <n v="375807"/>
  </r>
  <r>
    <d v="2022-06-16T00:00:00"/>
    <x v="0"/>
    <x v="11"/>
    <x v="2"/>
    <x v="3"/>
    <x v="0"/>
    <n v="118"/>
    <n v="0.18"/>
    <n v="30471"/>
    <n v="28826"/>
    <n v="2948373.96"/>
    <n v="-0.15367590615947496"/>
    <n v="-453094.03999999957"/>
  </r>
  <r>
    <d v="2022-10-01T00:00:00"/>
    <x v="0"/>
    <x v="8"/>
    <x v="3"/>
    <x v="2"/>
    <x v="0"/>
    <n v="125"/>
    <n v="0.11"/>
    <n v="27687"/>
    <n v="33354"/>
    <n v="3080178.75"/>
    <n v="-0.35357404176624491"/>
    <n v="-1089071.25"/>
  </r>
  <r>
    <d v="2023-01-23T00:00:00"/>
    <x v="1"/>
    <x v="4"/>
    <x v="2"/>
    <x v="4"/>
    <x v="1"/>
    <n v="103"/>
    <n v="0.08"/>
    <n v="65890"/>
    <n v="16843"/>
    <n v="6243736.4000000004"/>
    <n v="0.72214890430031609"/>
    <n v="4508907.4000000004"/>
  </r>
  <r>
    <d v="2023-08-24T00:00:00"/>
    <x v="1"/>
    <x v="6"/>
    <x v="2"/>
    <x v="1"/>
    <x v="1"/>
    <n v="56"/>
    <n v="0.06"/>
    <n v="5851"/>
    <n v="9190"/>
    <n v="307996.64"/>
    <n v="-0.67092731920711857"/>
    <n v="-206643.36"/>
  </r>
  <r>
    <d v="2022-11-12T00:00:00"/>
    <x v="0"/>
    <x v="7"/>
    <x v="1"/>
    <x v="0"/>
    <x v="2"/>
    <n v="108"/>
    <n v="0.27"/>
    <n v="23071"/>
    <n v="20640"/>
    <n v="1818917.64"/>
    <n v="-0.22552002959298373"/>
    <n v="-410202.3600000001"/>
  </r>
  <r>
    <d v="2022-01-14T00:00:00"/>
    <x v="0"/>
    <x v="4"/>
    <x v="2"/>
    <x v="3"/>
    <x v="1"/>
    <n v="64"/>
    <n v="0.13"/>
    <n v="64275"/>
    <n v="6330"/>
    <n v="3578832"/>
    <n v="0.88680105688112765"/>
    <n v="3173712"/>
  </r>
  <r>
    <d v="2022-08-30T00:00:00"/>
    <x v="0"/>
    <x v="6"/>
    <x v="2"/>
    <x v="2"/>
    <x v="2"/>
    <n v="177"/>
    <n v="0.19"/>
    <n v="11833"/>
    <n v="22087"/>
    <n v="1696497.21"/>
    <n v="-1.3043945943182542"/>
    <n v="-2212901.79"/>
  </r>
  <r>
    <d v="2022-12-12T00:00:00"/>
    <x v="0"/>
    <x v="3"/>
    <x v="3"/>
    <x v="2"/>
    <x v="1"/>
    <n v="61"/>
    <n v="0.18"/>
    <n v="16938"/>
    <n v="27504"/>
    <n v="847238.76"/>
    <n v="-0.98024934553277521"/>
    <n v="-830505.24"/>
  </r>
  <r>
    <d v="2023-07-19T00:00:00"/>
    <x v="1"/>
    <x v="10"/>
    <x v="3"/>
    <x v="1"/>
    <x v="2"/>
    <n v="153"/>
    <n v="0.25"/>
    <n v="40195"/>
    <n v="10114"/>
    <n v="4612376.25"/>
    <n v="0.66450221835219969"/>
    <n v="3064934.25"/>
  </r>
  <r>
    <d v="2022-12-06T00:00:00"/>
    <x v="0"/>
    <x v="3"/>
    <x v="0"/>
    <x v="3"/>
    <x v="0"/>
    <n v="22"/>
    <n v="0.14000000000000001"/>
    <n v="31144"/>
    <n v="16323"/>
    <n v="589244.48"/>
    <n v="0.39056535582649837"/>
    <n v="230138.48"/>
  </r>
  <r>
    <d v="2022-04-02T00:00:00"/>
    <x v="0"/>
    <x v="0"/>
    <x v="1"/>
    <x v="4"/>
    <x v="1"/>
    <n v="123"/>
    <n v="0.15"/>
    <n v="9000"/>
    <n v="37121"/>
    <n v="940950"/>
    <n v="-3.8524183006535946"/>
    <n v="-3624933"/>
  </r>
  <r>
    <d v="2023-01-02T00:00:00"/>
    <x v="1"/>
    <x v="4"/>
    <x v="2"/>
    <x v="3"/>
    <x v="1"/>
    <n v="133"/>
    <n v="0.2"/>
    <n v="10052"/>
    <n v="13975"/>
    <n v="1069532.8"/>
    <n v="-0.73783824114604046"/>
    <n v="-789142.2"/>
  </r>
  <r>
    <d v="2023-03-31T00:00:00"/>
    <x v="1"/>
    <x v="1"/>
    <x v="2"/>
    <x v="1"/>
    <x v="1"/>
    <n v="115"/>
    <n v="0.04"/>
    <n v="40506"/>
    <n v="14023"/>
    <n v="4471862.3999999994"/>
    <n v="0.63937955693806658"/>
    <n v="2859217.399999999"/>
  </r>
  <r>
    <d v="2023-03-04T00:00:00"/>
    <x v="1"/>
    <x v="1"/>
    <x v="0"/>
    <x v="1"/>
    <x v="1"/>
    <n v="167"/>
    <n v="0.02"/>
    <n v="33074"/>
    <n v="24447"/>
    <n v="5412890.8399999999"/>
    <n v="0.24575441835438899"/>
    <n v="1330241.8400000001"/>
  </r>
  <r>
    <d v="2023-05-24T00:00:00"/>
    <x v="1"/>
    <x v="5"/>
    <x v="2"/>
    <x v="3"/>
    <x v="2"/>
    <n v="156"/>
    <n v="0.11"/>
    <n v="59884"/>
    <n v="27933"/>
    <n v="8314294.5600000015"/>
    <n v="0.47589684626232442"/>
    <n v="3956746.560000001"/>
  </r>
  <r>
    <d v="2022-02-04T00:00:00"/>
    <x v="0"/>
    <x v="9"/>
    <x v="1"/>
    <x v="1"/>
    <x v="1"/>
    <n v="154"/>
    <n v="0.24"/>
    <n v="43155"/>
    <n v="26959"/>
    <n v="5050861.2"/>
    <n v="0.17802413576520379"/>
    <n v="899175.20000000019"/>
  </r>
  <r>
    <d v="2022-07-25T00:00:00"/>
    <x v="0"/>
    <x v="10"/>
    <x v="0"/>
    <x v="3"/>
    <x v="0"/>
    <n v="129"/>
    <n v="0.19"/>
    <n v="45770"/>
    <n v="3667"/>
    <n v="4782507.3000000007"/>
    <n v="0.90108891208592612"/>
    <n v="4309464.3000000007"/>
  </r>
  <r>
    <d v="2022-03-22T00:00:00"/>
    <x v="0"/>
    <x v="1"/>
    <x v="1"/>
    <x v="0"/>
    <x v="0"/>
    <n v="72"/>
    <n v="0.26"/>
    <n v="37320"/>
    <n v="32703"/>
    <n v="1988409.6"/>
    <n v="-0.18417050491005479"/>
    <n v="-366206.40000000008"/>
  </r>
  <r>
    <d v="2023-07-16T00:00:00"/>
    <x v="1"/>
    <x v="10"/>
    <x v="0"/>
    <x v="3"/>
    <x v="1"/>
    <n v="28"/>
    <n v="0.2"/>
    <n v="43304"/>
    <n v="12337"/>
    <n v="970009.60000000009"/>
    <n v="0.64388393681876965"/>
    <n v="624573.60000000009"/>
  </r>
  <r>
    <d v="2023-01-23T00:00:00"/>
    <x v="1"/>
    <x v="4"/>
    <x v="0"/>
    <x v="3"/>
    <x v="0"/>
    <n v="101"/>
    <n v="0.03"/>
    <n v="51247"/>
    <n v="39487"/>
    <n v="5020668.59"/>
    <n v="0.20564623445898467"/>
    <n v="1032481.59"/>
  </r>
  <r>
    <d v="2022-01-02T00:00:00"/>
    <x v="0"/>
    <x v="4"/>
    <x v="3"/>
    <x v="1"/>
    <x v="1"/>
    <n v="67"/>
    <n v="0.2"/>
    <n v="8913"/>
    <n v="22129"/>
    <n v="477736.8"/>
    <n v="-2.1034724559631996"/>
    <n v="-1004906.2"/>
  </r>
  <r>
    <d v="2023-01-25T00:00:00"/>
    <x v="1"/>
    <x v="4"/>
    <x v="1"/>
    <x v="1"/>
    <x v="1"/>
    <n v="192"/>
    <n v="0.22"/>
    <n v="22450"/>
    <n v="34921"/>
    <n v="3362112"/>
    <n v="-0.99423219690480269"/>
    <n v="-3342720"/>
  </r>
  <r>
    <d v="2023-07-20T00:00:00"/>
    <x v="1"/>
    <x v="10"/>
    <x v="2"/>
    <x v="2"/>
    <x v="0"/>
    <n v="99"/>
    <n v="0.15"/>
    <n v="29107"/>
    <n v="36307"/>
    <n v="2449354.0499999998"/>
    <n v="-0.46748609087363258"/>
    <n v="-1145038.95"/>
  </r>
  <r>
    <d v="2022-04-16T00:00:00"/>
    <x v="0"/>
    <x v="0"/>
    <x v="2"/>
    <x v="2"/>
    <x v="1"/>
    <n v="126"/>
    <n v="0.24"/>
    <n v="25764"/>
    <n v="30355"/>
    <n v="2467160.64"/>
    <n v="-0.550255762835127"/>
    <n v="-1357569.36"/>
  </r>
  <r>
    <d v="2023-04-22T00:00:00"/>
    <x v="1"/>
    <x v="0"/>
    <x v="1"/>
    <x v="0"/>
    <x v="0"/>
    <n v="71"/>
    <n v="0.06"/>
    <n v="48404"/>
    <n v="7835"/>
    <n v="3230482.96"/>
    <n v="0.82780128950130727"/>
    <n v="2674197.96"/>
  </r>
  <r>
    <d v="2023-12-04T00:00:00"/>
    <x v="1"/>
    <x v="3"/>
    <x v="2"/>
    <x v="2"/>
    <x v="2"/>
    <n v="32"/>
    <n v="0.12"/>
    <n v="25491"/>
    <n v="23159"/>
    <n v="717826.56000000006"/>
    <n v="-3.2405376585675431E-2"/>
    <n v="-23261.43999999994"/>
  </r>
  <r>
    <d v="2023-02-06T00:00:00"/>
    <x v="1"/>
    <x v="9"/>
    <x v="2"/>
    <x v="3"/>
    <x v="1"/>
    <n v="136"/>
    <n v="0.2"/>
    <n v="43494"/>
    <n v="16216"/>
    <n v="4732147.2"/>
    <n v="0.53395870694808478"/>
    <n v="2526771.2000000002"/>
  </r>
  <r>
    <d v="2023-12-31T00:00:00"/>
    <x v="1"/>
    <x v="3"/>
    <x v="1"/>
    <x v="1"/>
    <x v="2"/>
    <n v="146"/>
    <n v="0.09"/>
    <n v="8373"/>
    <n v="38547"/>
    <n v="1112436.78"/>
    <n v="-4.0590398494375561"/>
    <n v="-4515425.22"/>
  </r>
  <r>
    <d v="2023-07-10T00:00:00"/>
    <x v="1"/>
    <x v="10"/>
    <x v="0"/>
    <x v="2"/>
    <x v="0"/>
    <n v="149"/>
    <n v="0.25"/>
    <n v="17161"/>
    <n v="34471"/>
    <n v="1917741.75"/>
    <n v="-1.6782433036147855"/>
    <n v="-3218437.25"/>
  </r>
  <r>
    <d v="2022-06-11T00:00:00"/>
    <x v="0"/>
    <x v="11"/>
    <x v="1"/>
    <x v="2"/>
    <x v="2"/>
    <n v="138"/>
    <n v="0.06"/>
    <n v="36996"/>
    <n v="20308"/>
    <n v="4799121.12"/>
    <n v="0.41603807657182029"/>
    <n v="1996617.12"/>
  </r>
  <r>
    <d v="2022-07-21T00:00:00"/>
    <x v="0"/>
    <x v="10"/>
    <x v="0"/>
    <x v="0"/>
    <x v="2"/>
    <n v="67"/>
    <n v="0.13"/>
    <n v="32122"/>
    <n v="30532"/>
    <n v="1872391.38"/>
    <n v="-9.253013117375071E-2"/>
    <n v="-173252.62000000011"/>
  </r>
  <r>
    <d v="2022-09-27T00:00:00"/>
    <x v="0"/>
    <x v="2"/>
    <x v="2"/>
    <x v="0"/>
    <x v="0"/>
    <n v="131"/>
    <n v="0.25"/>
    <n v="63097"/>
    <n v="37349"/>
    <n v="6199280.25"/>
    <n v="0.21076015235800963"/>
    <n v="1306561.25"/>
  </r>
  <r>
    <d v="2022-09-28T00:00:00"/>
    <x v="0"/>
    <x v="2"/>
    <x v="2"/>
    <x v="3"/>
    <x v="2"/>
    <n v="10"/>
    <n v="0.04"/>
    <n v="39850"/>
    <n v="8713"/>
    <n v="382560"/>
    <n v="0.77224487662066077"/>
    <n v="295430"/>
  </r>
  <r>
    <d v="2023-04-01T00:00:00"/>
    <x v="1"/>
    <x v="0"/>
    <x v="2"/>
    <x v="1"/>
    <x v="2"/>
    <n v="43"/>
    <n v="0.02"/>
    <n v="32350"/>
    <n v="7804"/>
    <n v="1363229"/>
    <n v="0.75384033056808508"/>
    <n v="1027657"/>
  </r>
  <r>
    <d v="2023-04-07T00:00:00"/>
    <x v="1"/>
    <x v="0"/>
    <x v="3"/>
    <x v="0"/>
    <x v="0"/>
    <n v="105"/>
    <n v="0.22"/>
    <n v="32472"/>
    <n v="13136"/>
    <n v="2659456.7999999998"/>
    <n v="0.48136777405070091"/>
    <n v="1280176.8"/>
  </r>
  <r>
    <d v="2023-12-28T00:00:00"/>
    <x v="1"/>
    <x v="3"/>
    <x v="0"/>
    <x v="2"/>
    <x v="2"/>
    <n v="135"/>
    <n v="0.28000000000000003"/>
    <n v="33761"/>
    <n v="3009"/>
    <n v="3281569.2"/>
    <n v="0.87621318483852173"/>
    <n v="2875354.2"/>
  </r>
  <r>
    <d v="2022-09-09T00:00:00"/>
    <x v="0"/>
    <x v="2"/>
    <x v="3"/>
    <x v="1"/>
    <x v="0"/>
    <n v="127"/>
    <n v="0.1"/>
    <n v="30351"/>
    <n v="22255"/>
    <n v="3469119.3"/>
    <n v="0.18527304610135498"/>
    <n v="642734.30000000028"/>
  </r>
  <r>
    <d v="2023-12-03T00:00:00"/>
    <x v="1"/>
    <x v="3"/>
    <x v="3"/>
    <x v="1"/>
    <x v="2"/>
    <n v="57"/>
    <n v="0.1"/>
    <n v="28132"/>
    <n v="26793"/>
    <n v="1443171.6"/>
    <n v="-5.8225508317929692E-2"/>
    <n v="-84029.399999999907"/>
  </r>
  <r>
    <d v="2022-10-23T00:00:00"/>
    <x v="0"/>
    <x v="8"/>
    <x v="1"/>
    <x v="2"/>
    <x v="0"/>
    <n v="98"/>
    <n v="0.17"/>
    <n v="54049"/>
    <n v="32548"/>
    <n v="4396345.66"/>
    <n v="0.27446469256923711"/>
    <n v="1206641.6599999999"/>
  </r>
  <r>
    <d v="2023-12-26T00:00:00"/>
    <x v="1"/>
    <x v="3"/>
    <x v="3"/>
    <x v="0"/>
    <x v="0"/>
    <n v="126"/>
    <n v="0.14000000000000001"/>
    <n v="20305"/>
    <n v="4015"/>
    <n v="2200249.7999999998"/>
    <n v="0.7700761068129629"/>
    <n v="1694359.8"/>
  </r>
  <r>
    <d v="2023-12-21T00:00:00"/>
    <x v="1"/>
    <x v="3"/>
    <x v="1"/>
    <x v="2"/>
    <x v="2"/>
    <n v="138"/>
    <n v="0.11"/>
    <n v="14817"/>
    <n v="30712"/>
    <n v="1819823.94"/>
    <n v="-1.3289373806127642"/>
    <n v="-2418432.06"/>
  </r>
  <r>
    <d v="2022-12-04T00:00:00"/>
    <x v="0"/>
    <x v="3"/>
    <x v="1"/>
    <x v="1"/>
    <x v="2"/>
    <n v="25"/>
    <n v="0.08"/>
    <n v="16261"/>
    <n v="37961"/>
    <n v="374003"/>
    <n v="-1.5374796458851934"/>
    <n v="-575022"/>
  </r>
  <r>
    <d v="2022-02-22T00:00:00"/>
    <x v="0"/>
    <x v="9"/>
    <x v="3"/>
    <x v="4"/>
    <x v="2"/>
    <n v="198"/>
    <n v="0.09"/>
    <n v="5417"/>
    <n v="11415"/>
    <n v="976035.06"/>
    <n v="-1.3156647672062107"/>
    <n v="-1284134.94"/>
  </r>
  <r>
    <d v="2022-08-05T00:00:00"/>
    <x v="0"/>
    <x v="6"/>
    <x v="0"/>
    <x v="4"/>
    <x v="1"/>
    <n v="78"/>
    <n v="0.25"/>
    <n v="62458"/>
    <n v="26833"/>
    <n v="3653793"/>
    <n v="0.42717773010129473"/>
    <n v="1560819"/>
  </r>
  <r>
    <d v="2022-07-07T00:00:00"/>
    <x v="0"/>
    <x v="10"/>
    <x v="0"/>
    <x v="3"/>
    <x v="1"/>
    <n v="31"/>
    <n v="0.11"/>
    <n v="46576"/>
    <n v="7158"/>
    <n v="1285031.8400000001"/>
    <n v="0.82732101019380189"/>
    <n v="1063133.8400000001"/>
  </r>
  <r>
    <d v="2023-01-15T00:00:00"/>
    <x v="1"/>
    <x v="4"/>
    <x v="0"/>
    <x v="2"/>
    <x v="1"/>
    <n v="102"/>
    <n v="0.16"/>
    <n v="25358"/>
    <n v="23309"/>
    <n v="2172673.44"/>
    <n v="-9.428225900345158E-2"/>
    <n v="-204844.56000000011"/>
  </r>
  <r>
    <d v="2023-05-08T00:00:00"/>
    <x v="1"/>
    <x v="5"/>
    <x v="0"/>
    <x v="2"/>
    <x v="0"/>
    <n v="85"/>
    <n v="0.28000000000000003"/>
    <n v="8267"/>
    <n v="9970"/>
    <n v="505940.4"/>
    <n v="-0.67499966399204325"/>
    <n v="-341509.6"/>
  </r>
  <r>
    <d v="2022-02-10T00:00:00"/>
    <x v="0"/>
    <x v="9"/>
    <x v="0"/>
    <x v="3"/>
    <x v="2"/>
    <n v="163"/>
    <n v="0.05"/>
    <n v="22209"/>
    <n v="9938"/>
    <n v="3439063.65"/>
    <n v="0.52897237013918019"/>
    <n v="1819169.65"/>
  </r>
  <r>
    <d v="2022-06-06T00:00:00"/>
    <x v="0"/>
    <x v="11"/>
    <x v="3"/>
    <x v="3"/>
    <x v="0"/>
    <n v="153"/>
    <n v="0.06"/>
    <n v="29052"/>
    <n v="24168"/>
    <n v="4178258.64"/>
    <n v="0.11501313858349366"/>
    <n v="480554.63999999972"/>
  </r>
  <r>
    <d v="2022-01-15T00:00:00"/>
    <x v="0"/>
    <x v="4"/>
    <x v="3"/>
    <x v="3"/>
    <x v="1"/>
    <n v="188"/>
    <n v="0.13"/>
    <n v="43513"/>
    <n v="23384"/>
    <n v="7116986.2800000003"/>
    <n v="0.38229584447084247"/>
    <n v="2720794.28"/>
  </r>
  <r>
    <d v="2022-03-06T00:00:00"/>
    <x v="0"/>
    <x v="1"/>
    <x v="2"/>
    <x v="1"/>
    <x v="2"/>
    <n v="95"/>
    <n v="0.12"/>
    <n v="31092"/>
    <n v="21017"/>
    <n v="2599291.2000000002"/>
    <n v="0.23186174754102201"/>
    <n v="602676.20000000019"/>
  </r>
  <r>
    <d v="2023-06-05T00:00:00"/>
    <x v="1"/>
    <x v="11"/>
    <x v="0"/>
    <x v="2"/>
    <x v="0"/>
    <n v="194"/>
    <n v="7.0000000000000007E-2"/>
    <n v="16338"/>
    <n v="13344"/>
    <n v="2947701.96"/>
    <n v="0.12177824110820214"/>
    <n v="358965.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8D946F-5FD4-4294-AFBD-349928EA33A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13">
    <pivotField showAll="0"/>
    <pivotField showAll="0">
      <items count="3">
        <item x="0"/>
        <item h="1" x="1"/>
        <item t="default"/>
      </items>
    </pivotField>
    <pivotField showAll="0">
      <items count="13">
        <item x="4"/>
        <item x="9"/>
        <item x="1"/>
        <item x="0"/>
        <item x="5"/>
        <item x="11"/>
        <item x="10"/>
        <item x="6"/>
        <item x="2"/>
        <item x="8"/>
        <item x="7"/>
        <item x="3"/>
        <item t="default"/>
      </items>
    </pivotField>
    <pivotField showAll="0">
      <items count="5">
        <item x="2"/>
        <item x="1"/>
        <item x="3"/>
        <item x="0"/>
        <item t="default"/>
      </items>
    </pivotField>
    <pivotField axis="axisRow" showAll="0">
      <items count="6">
        <item x="4"/>
        <item x="2"/>
        <item x="0"/>
        <item x="1"/>
        <item x="3"/>
        <item t="default"/>
      </items>
    </pivotField>
    <pivotField showAll="0"/>
    <pivotField showAll="0"/>
    <pivotField numFmtId="9" showAll="0"/>
    <pivotField numFmtId="164" showAll="0"/>
    <pivotField numFmtId="164" showAll="0"/>
    <pivotField dataField="1" numFmtId="164" showAll="0"/>
    <pivotField numFmtId="10" showAll="0"/>
    <pivotField dataField="1" numFmtId="164" showAll="0"/>
  </pivotFields>
  <rowFields count="1">
    <field x="4"/>
  </rowFields>
  <rowItems count="6">
    <i>
      <x/>
    </i>
    <i>
      <x v="1"/>
    </i>
    <i>
      <x v="2"/>
    </i>
    <i>
      <x v="3"/>
    </i>
    <i>
      <x v="4"/>
    </i>
    <i t="grand">
      <x/>
    </i>
  </rowItems>
  <colFields count="1">
    <field x="-2"/>
  </colFields>
  <colItems count="2">
    <i>
      <x/>
    </i>
    <i i="1">
      <x v="1"/>
    </i>
  </colItems>
  <dataFields count="2">
    <dataField name="Sum of Revenue" fld="10" baseField="0" baseItem="0" numFmtId="164"/>
    <dataField name="Sum of Profit" fld="12" baseField="0" baseItem="0" numFmtId="164"/>
  </dataFields>
  <chartFormats count="7">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 chart="4" format="16">
      <pivotArea type="data" outline="0" fieldPosition="0">
        <references count="2">
          <reference field="4294967294" count="1" selected="0">
            <x v="1"/>
          </reference>
          <reference field="4" count="1" selected="0">
            <x v="0"/>
          </reference>
        </references>
      </pivotArea>
    </chartFormat>
    <chartFormat chart="4" format="17">
      <pivotArea type="data" outline="0" fieldPosition="0">
        <references count="2">
          <reference field="4294967294" count="1" selected="0">
            <x v="1"/>
          </reference>
          <reference field="4" count="1" selected="0">
            <x v="1"/>
          </reference>
        </references>
      </pivotArea>
    </chartFormat>
    <chartFormat chart="4" format="18">
      <pivotArea type="data" outline="0" fieldPosition="0">
        <references count="2">
          <reference field="4294967294" count="1" selected="0">
            <x v="1"/>
          </reference>
          <reference field="4" count="1" selected="0">
            <x v="2"/>
          </reference>
        </references>
      </pivotArea>
    </chartFormat>
    <chartFormat chart="4" format="19">
      <pivotArea type="data" outline="0" fieldPosition="0">
        <references count="2">
          <reference field="4294967294" count="1" selected="0">
            <x v="1"/>
          </reference>
          <reference field="4" count="1" selected="0">
            <x v="3"/>
          </reference>
        </references>
      </pivotArea>
    </chartFormat>
    <chartFormat chart="4" format="20">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0ADD5B-890A-4C8C-A575-6B6D8FC99140}"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 firstHeaderRow="0" firstDataRow="1" firstDataCol="1"/>
  <pivotFields count="13">
    <pivotField showAll="0"/>
    <pivotField showAll="0">
      <items count="3">
        <item x="0"/>
        <item h="1" x="1"/>
        <item t="default"/>
      </items>
    </pivotField>
    <pivotField showAll="0">
      <items count="13">
        <item x="4"/>
        <item x="9"/>
        <item x="1"/>
        <item x="0"/>
        <item x="5"/>
        <item x="11"/>
        <item x="10"/>
        <item x="6"/>
        <item x="2"/>
        <item x="8"/>
        <item x="7"/>
        <item x="3"/>
        <item t="default"/>
      </items>
    </pivotField>
    <pivotField showAll="0">
      <items count="5">
        <item x="2"/>
        <item x="1"/>
        <item x="3"/>
        <item x="0"/>
        <item t="default"/>
      </items>
    </pivotField>
    <pivotField showAll="0">
      <items count="6">
        <item x="4"/>
        <item x="2"/>
        <item x="0"/>
        <item x="1"/>
        <item x="3"/>
        <item t="default"/>
      </items>
    </pivotField>
    <pivotField axis="axisRow" showAll="0">
      <items count="4">
        <item x="0"/>
        <item x="1"/>
        <item x="2"/>
        <item t="default"/>
      </items>
    </pivotField>
    <pivotField showAll="0"/>
    <pivotField numFmtId="9" showAll="0"/>
    <pivotField numFmtId="164" showAll="0"/>
    <pivotField numFmtId="164" showAll="0"/>
    <pivotField dataField="1" numFmtId="164" showAll="0"/>
    <pivotField numFmtId="10" showAll="0"/>
    <pivotField dataField="1" numFmtId="164" showAll="0"/>
  </pivotFields>
  <rowFields count="1">
    <field x="5"/>
  </rowFields>
  <rowItems count="4">
    <i>
      <x/>
    </i>
    <i>
      <x v="1"/>
    </i>
    <i>
      <x v="2"/>
    </i>
    <i t="grand">
      <x/>
    </i>
  </rowItems>
  <colFields count="1">
    <field x="-2"/>
  </colFields>
  <colItems count="2">
    <i>
      <x/>
    </i>
    <i i="1">
      <x v="1"/>
    </i>
  </colItems>
  <dataFields count="2">
    <dataField name="Sum of Revenue" fld="10" baseField="0" baseItem="0" numFmtId="164"/>
    <dataField name="Sum of Profit" fld="12" baseField="0" baseItem="0" numFmtId="164"/>
  </dataFields>
  <chartFormats count="8">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5" count="1" selected="0">
            <x v="0"/>
          </reference>
        </references>
      </pivotArea>
    </chartFormat>
    <chartFormat chart="10" format="18">
      <pivotArea type="data" outline="0" fieldPosition="0">
        <references count="2">
          <reference field="4294967294" count="1" selected="0">
            <x v="0"/>
          </reference>
          <reference field="5" count="1" selected="0">
            <x v="1"/>
          </reference>
        </references>
      </pivotArea>
    </chartFormat>
    <chartFormat chart="10" format="19">
      <pivotArea type="data" outline="0" fieldPosition="0">
        <references count="2">
          <reference field="4294967294" count="1" selected="0">
            <x v="0"/>
          </reference>
          <reference field="5" count="1" selected="0">
            <x v="2"/>
          </reference>
        </references>
      </pivotArea>
    </chartFormat>
    <chartFormat chart="10" format="20" series="1">
      <pivotArea type="data" outline="0" fieldPosition="0">
        <references count="1">
          <reference field="4294967294" count="1" selected="0">
            <x v="1"/>
          </reference>
        </references>
      </pivotArea>
    </chartFormat>
    <chartFormat chart="10" format="21">
      <pivotArea type="data" outline="0" fieldPosition="0">
        <references count="2">
          <reference field="4294967294" count="1" selected="0">
            <x v="1"/>
          </reference>
          <reference field="5" count="1" selected="0">
            <x v="0"/>
          </reference>
        </references>
      </pivotArea>
    </chartFormat>
    <chartFormat chart="10" format="22">
      <pivotArea type="data" outline="0" fieldPosition="0">
        <references count="2">
          <reference field="4294967294" count="1" selected="0">
            <x v="1"/>
          </reference>
          <reference field="5" count="1" selected="0">
            <x v="1"/>
          </reference>
        </references>
      </pivotArea>
    </chartFormat>
    <chartFormat chart="10" format="23">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2EA3B-D8DA-4EC7-B63F-4D8DD2D66762}"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7" firstHeaderRow="0" firstDataRow="1" firstDataCol="1"/>
  <pivotFields count="13">
    <pivotField showAll="0"/>
    <pivotField axis="axisRow" showAll="0">
      <items count="3">
        <item x="0"/>
        <item h="1" x="1"/>
        <item t="default"/>
      </items>
    </pivotField>
    <pivotField axis="axisRow" showAll="0">
      <items count="13">
        <item x="4"/>
        <item x="9"/>
        <item x="1"/>
        <item x="0"/>
        <item x="5"/>
        <item x="11"/>
        <item x="10"/>
        <item x="6"/>
        <item x="2"/>
        <item x="8"/>
        <item x="7"/>
        <item x="3"/>
        <item t="default"/>
      </items>
    </pivotField>
    <pivotField showAll="0">
      <items count="5">
        <item x="2"/>
        <item x="1"/>
        <item x="3"/>
        <item x="0"/>
        <item t="default"/>
      </items>
    </pivotField>
    <pivotField showAll="0">
      <items count="6">
        <item x="4"/>
        <item x="2"/>
        <item x="0"/>
        <item x="1"/>
        <item x="3"/>
        <item t="default"/>
      </items>
    </pivotField>
    <pivotField showAll="0"/>
    <pivotField showAll="0"/>
    <pivotField numFmtId="9" showAll="0"/>
    <pivotField numFmtId="164" showAll="0"/>
    <pivotField numFmtId="164" showAll="0"/>
    <pivotField dataField="1" numFmtId="164" showAll="0"/>
    <pivotField numFmtId="10" showAll="0"/>
    <pivotField dataField="1" numFmtId="164" showAll="0"/>
  </pivotFields>
  <rowFields count="2">
    <field x="1"/>
    <field x="2"/>
  </rowFields>
  <rowItems count="14">
    <i>
      <x/>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Profit" fld="12" baseField="0" baseItem="0" numFmtId="164"/>
    <dataField name="Sum of Revenue" fld="10"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AAA284-797A-4CC0-80F6-0E4516661B7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13">
    <pivotField numFmtId="166" showAll="0"/>
    <pivotField showAll="0"/>
    <pivotField showAll="0">
      <items count="13">
        <item x="4"/>
        <item x="9"/>
        <item x="1"/>
        <item x="0"/>
        <item x="5"/>
        <item x="11"/>
        <item x="10"/>
        <item x="6"/>
        <item x="2"/>
        <item x="8"/>
        <item x="7"/>
        <item x="3"/>
        <item t="default"/>
      </items>
    </pivotField>
    <pivotField showAll="0">
      <items count="5">
        <item x="2"/>
        <item x="1"/>
        <item x="3"/>
        <item x="0"/>
        <item t="default"/>
      </items>
    </pivotField>
    <pivotField axis="axisRow" showAll="0">
      <items count="6">
        <item x="4"/>
        <item x="2"/>
        <item x="0"/>
        <item x="1"/>
        <item x="3"/>
        <item t="default"/>
      </items>
    </pivotField>
    <pivotField showAll="0"/>
    <pivotField numFmtId="1" showAll="0"/>
    <pivotField numFmtId="9" showAll="0"/>
    <pivotField numFmtId="164" showAll="0"/>
    <pivotField numFmtId="164" showAll="0"/>
    <pivotField dataField="1" numFmtId="164" showAll="0"/>
    <pivotField dataField="1" numFmtId="10" showAll="0"/>
    <pivotField numFmtId="164" showAll="0"/>
  </pivotFields>
  <rowFields count="1">
    <field x="4"/>
  </rowFields>
  <rowItems count="6">
    <i>
      <x/>
    </i>
    <i>
      <x v="1"/>
    </i>
    <i>
      <x v="2"/>
    </i>
    <i>
      <x v="3"/>
    </i>
    <i>
      <x v="4"/>
    </i>
    <i t="grand">
      <x/>
    </i>
  </rowItems>
  <colFields count="1">
    <field x="-2"/>
  </colFields>
  <colItems count="2">
    <i>
      <x/>
    </i>
    <i i="1">
      <x v="1"/>
    </i>
  </colItems>
  <dataFields count="2">
    <dataField name="Sum of Revenue" fld="10" baseField="0" baseItem="0" numFmtId="164"/>
    <dataField name="Average of profit margin %" fld="11" subtotal="average" baseField="4" baseItem="3"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7277B1-1C27-4398-9450-D7A6EF0EDA06}"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J12" firstHeaderRow="0" firstDataRow="1" firstDataCol="1"/>
  <pivotFields count="13">
    <pivotField showAll="0"/>
    <pivotField showAll="0">
      <items count="3">
        <item x="0"/>
        <item h="1" x="1"/>
        <item t="default"/>
      </items>
    </pivotField>
    <pivotField showAll="0">
      <items count="13">
        <item x="4"/>
        <item x="9"/>
        <item x="1"/>
        <item x="0"/>
        <item x="5"/>
        <item x="11"/>
        <item x="10"/>
        <item x="6"/>
        <item x="2"/>
        <item x="8"/>
        <item x="7"/>
        <item x="3"/>
        <item t="default"/>
      </items>
    </pivotField>
    <pivotField axis="axisRow" showAll="0">
      <items count="5">
        <item x="2"/>
        <item x="1"/>
        <item x="3"/>
        <item x="0"/>
        <item t="default"/>
      </items>
    </pivotField>
    <pivotField showAll="0">
      <items count="6">
        <item x="4"/>
        <item x="2"/>
        <item x="0"/>
        <item x="1"/>
        <item x="3"/>
        <item t="default"/>
      </items>
    </pivotField>
    <pivotField showAll="0"/>
    <pivotField showAll="0"/>
    <pivotField numFmtId="9" showAll="0"/>
    <pivotField numFmtId="164" showAll="0"/>
    <pivotField numFmtId="164" showAll="0"/>
    <pivotField dataField="1" numFmtId="164" showAll="0"/>
    <pivotField numFmtId="10" showAll="0"/>
    <pivotField dataField="1" numFmtId="164" showAll="0"/>
  </pivotFields>
  <rowFields count="1">
    <field x="3"/>
  </rowFields>
  <rowItems count="5">
    <i>
      <x/>
    </i>
    <i>
      <x v="1"/>
    </i>
    <i>
      <x v="2"/>
    </i>
    <i>
      <x v="3"/>
    </i>
    <i t="grand">
      <x/>
    </i>
  </rowItems>
  <colFields count="1">
    <field x="-2"/>
  </colFields>
  <colItems count="2">
    <i>
      <x/>
    </i>
    <i i="1">
      <x v="1"/>
    </i>
  </colItems>
  <dataFields count="2">
    <dataField name="Sum of Revenue" fld="10" baseField="0" baseItem="0" numFmtId="164"/>
    <dataField name="Sum of Profi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A0E6F3-CB45-40EB-AAE7-6D38183A3B07}"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7:F13" firstHeaderRow="0" firstDataRow="1" firstDataCol="1"/>
  <pivotFields count="13">
    <pivotField showAll="0"/>
    <pivotField showAll="0">
      <items count="3">
        <item x="0"/>
        <item h="1" x="1"/>
        <item t="default"/>
      </items>
    </pivotField>
    <pivotField showAll="0">
      <items count="13">
        <item x="4"/>
        <item x="9"/>
        <item x="1"/>
        <item x="0"/>
        <item x="5"/>
        <item x="11"/>
        <item x="10"/>
        <item x="6"/>
        <item x="2"/>
        <item x="8"/>
        <item x="7"/>
        <item x="3"/>
        <item t="default"/>
      </items>
    </pivotField>
    <pivotField showAll="0">
      <items count="5">
        <item x="2"/>
        <item x="1"/>
        <item x="3"/>
        <item x="0"/>
        <item t="default"/>
      </items>
    </pivotField>
    <pivotField axis="axisRow" showAll="0">
      <items count="6">
        <item x="4"/>
        <item x="2"/>
        <item x="0"/>
        <item x="1"/>
        <item x="3"/>
        <item t="default"/>
      </items>
    </pivotField>
    <pivotField showAll="0"/>
    <pivotField showAll="0"/>
    <pivotField numFmtId="9" showAll="0"/>
    <pivotField numFmtId="164" showAll="0"/>
    <pivotField numFmtId="164" showAll="0"/>
    <pivotField dataField="1" numFmtId="164" showAll="0"/>
    <pivotField numFmtId="10" showAll="0"/>
    <pivotField dataField="1" numFmtId="164" showAll="0"/>
  </pivotFields>
  <rowFields count="1">
    <field x="4"/>
  </rowFields>
  <rowItems count="6">
    <i>
      <x/>
    </i>
    <i>
      <x v="1"/>
    </i>
    <i>
      <x v="2"/>
    </i>
    <i>
      <x v="3"/>
    </i>
    <i>
      <x v="4"/>
    </i>
    <i t="grand">
      <x/>
    </i>
  </rowItems>
  <colFields count="1">
    <field x="-2"/>
  </colFields>
  <colItems count="2">
    <i>
      <x/>
    </i>
    <i i="1">
      <x v="1"/>
    </i>
  </colItems>
  <dataFields count="2">
    <dataField name=" Revenue" fld="10" baseField="4" baseItem="0" numFmtId="164"/>
    <dataField name="Profits" fld="12" baseField="4"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E7ACC0-B3C4-41E6-B344-AA11116B9F78}"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3">
    <pivotField showAll="0"/>
    <pivotField showAll="0">
      <items count="3">
        <item x="0"/>
        <item h="1" x="1"/>
        <item t="default"/>
      </items>
    </pivotField>
    <pivotField showAll="0">
      <items count="13">
        <item x="4"/>
        <item x="9"/>
        <item x="1"/>
        <item x="0"/>
        <item x="5"/>
        <item x="11"/>
        <item x="10"/>
        <item x="6"/>
        <item x="2"/>
        <item x="8"/>
        <item x="7"/>
        <item x="3"/>
        <item t="default"/>
      </items>
    </pivotField>
    <pivotField showAll="0">
      <items count="5">
        <item x="2"/>
        <item x="1"/>
        <item x="3"/>
        <item x="0"/>
        <item t="default"/>
      </items>
    </pivotField>
    <pivotField showAll="0">
      <items count="6">
        <item x="4"/>
        <item x="2"/>
        <item x="0"/>
        <item x="1"/>
        <item x="3"/>
        <item t="default"/>
      </items>
    </pivotField>
    <pivotField showAll="0"/>
    <pivotField dataField="1" showAll="0"/>
    <pivotField numFmtId="9" showAll="0"/>
    <pivotField numFmtId="164" showAll="0"/>
    <pivotField numFmtId="164" showAll="0"/>
    <pivotField numFmtId="164" showAll="0"/>
    <pivotField numFmtId="10" showAll="0"/>
    <pivotField numFmtId="164" showAll="0"/>
  </pivotFields>
  <rowItems count="1">
    <i/>
  </rowItems>
  <colItems count="1">
    <i/>
  </colItems>
  <dataFields count="1">
    <dataField name="Average of UnitsSold"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110A83-6B48-4208-B808-E41CEC139736}"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items count="3">
        <item x="0"/>
        <item h="1" x="1"/>
        <item t="default"/>
      </items>
    </pivotField>
    <pivotField showAll="0">
      <items count="13">
        <item x="4"/>
        <item x="9"/>
        <item x="1"/>
        <item x="0"/>
        <item x="5"/>
        <item x="11"/>
        <item x="10"/>
        <item x="6"/>
        <item x="2"/>
        <item x="8"/>
        <item x="7"/>
        <item x="3"/>
        <item t="default"/>
      </items>
    </pivotField>
    <pivotField showAll="0">
      <items count="5">
        <item x="2"/>
        <item x="1"/>
        <item x="3"/>
        <item x="0"/>
        <item t="default"/>
      </items>
    </pivotField>
    <pivotField showAll="0">
      <items count="6">
        <item x="4"/>
        <item x="2"/>
        <item x="0"/>
        <item x="1"/>
        <item x="3"/>
        <item t="default"/>
      </items>
    </pivotField>
    <pivotField showAll="0"/>
    <pivotField showAll="0"/>
    <pivotField numFmtId="9" showAll="0"/>
    <pivotField numFmtId="164" showAll="0"/>
    <pivotField numFmtId="164" showAll="0"/>
    <pivotField dataField="1" numFmtId="164" showAll="0"/>
    <pivotField numFmtId="10" showAll="0"/>
    <pivotField numFmtId="164" showAll="0"/>
  </pivotFields>
  <rowItems count="1">
    <i/>
  </rowItems>
  <colItems count="1">
    <i/>
  </colItems>
  <dataFields count="1">
    <dataField name="Sum of Revenu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3C0844-4CCA-4201-9530-DCF3DEC35455}"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pivotField showAll="0">
      <items count="3">
        <item x="0"/>
        <item h="1" x="1"/>
        <item t="default"/>
      </items>
    </pivotField>
    <pivotField showAll="0">
      <items count="13">
        <item x="4"/>
        <item x="9"/>
        <item x="1"/>
        <item x="0"/>
        <item x="5"/>
        <item x="11"/>
        <item x="10"/>
        <item x="6"/>
        <item x="2"/>
        <item x="8"/>
        <item x="7"/>
        <item x="3"/>
        <item t="default"/>
      </items>
    </pivotField>
    <pivotField showAll="0">
      <items count="5">
        <item x="2"/>
        <item x="1"/>
        <item x="3"/>
        <item x="0"/>
        <item t="default"/>
      </items>
    </pivotField>
    <pivotField showAll="0">
      <items count="6">
        <item x="4"/>
        <item x="2"/>
        <item x="0"/>
        <item x="1"/>
        <item x="3"/>
        <item t="default"/>
      </items>
    </pivotField>
    <pivotField showAll="0"/>
    <pivotField showAll="0"/>
    <pivotField numFmtId="9" showAll="0"/>
    <pivotField numFmtId="164" showAll="0"/>
    <pivotField numFmtId="164" showAll="0"/>
    <pivotField numFmtId="164" showAll="0"/>
    <pivotField numFmtId="10" showAll="0"/>
    <pivotField dataField="1" numFmtId="164" showAll="0"/>
  </pivotFields>
  <rowItems count="1">
    <i/>
  </rowItems>
  <colItems count="1">
    <i/>
  </colItems>
  <dataFields count="1">
    <dataField name="Average of Profit" fld="1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3F1DED-18DC-4640-89FA-23DBB63874C5}"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H18" firstHeaderRow="1" firstDataRow="1" firstDataCol="1"/>
  <pivotFields count="13">
    <pivotField showAll="0"/>
    <pivotField axis="axisRow" showAll="0">
      <items count="3">
        <item x="0"/>
        <item h="1" x="1"/>
        <item t="default"/>
      </items>
    </pivotField>
    <pivotField showAll="0">
      <items count="13">
        <item x="4"/>
        <item x="9"/>
        <item x="1"/>
        <item x="0"/>
        <item x="5"/>
        <item x="11"/>
        <item x="10"/>
        <item x="6"/>
        <item x="2"/>
        <item x="8"/>
        <item x="7"/>
        <item x="3"/>
        <item t="default"/>
      </items>
    </pivotField>
    <pivotField showAll="0">
      <items count="5">
        <item x="2"/>
        <item x="1"/>
        <item x="3"/>
        <item x="0"/>
        <item t="default"/>
      </items>
    </pivotField>
    <pivotField showAll="0">
      <items count="6">
        <item x="4"/>
        <item x="2"/>
        <item x="0"/>
        <item x="1"/>
        <item x="3"/>
        <item t="default"/>
      </items>
    </pivotField>
    <pivotField showAll="0"/>
    <pivotField showAll="0"/>
    <pivotField numFmtId="9" showAll="0"/>
    <pivotField numFmtId="164" showAll="0"/>
    <pivotField numFmtId="164" showAll="0"/>
    <pivotField numFmtId="164" showAll="0"/>
    <pivotField numFmtId="10" showAll="0"/>
    <pivotField numFmtId="164" showAll="0"/>
  </pivotFields>
  <rowFields count="1">
    <field x="1"/>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071640E-20B1-4474-AEB1-198C2FD09742}" sourceName="Region">
  <pivotTables>
    <pivotTable tabId="21" name="PivotTable7"/>
    <pivotTable tabId="11" name="PivotTable2"/>
    <pivotTable tabId="12" name="PivotTable3"/>
    <pivotTable tabId="14" name="PivotTable5"/>
    <pivotTable tabId="21" name="PivotTable5"/>
    <pivotTable tabId="21" name="PivotTable6"/>
    <pivotTable tabId="21" name="PivotTable8"/>
    <pivotTable tabId="21" name="PivotTable9"/>
    <pivotTable tabId="21" name="PivotTable1"/>
    <pivotTable tabId="23" name="PivotTable2"/>
  </pivotTables>
  <data>
    <tabular pivotCacheId="74672654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AEE0941-8D78-45D1-AAD3-5514971048F7}" sourceName="Product">
  <pivotTables>
    <pivotTable tabId="21" name="PivotTable8"/>
    <pivotTable tabId="12" name="PivotTable3"/>
    <pivotTable tabId="14" name="PivotTable5"/>
    <pivotTable tabId="21" name="PivotTable5"/>
    <pivotTable tabId="21" name="PivotTable6"/>
    <pivotTable tabId="21" name="PivotTable7"/>
    <pivotTable tabId="21" name="PivotTable9"/>
    <pivotTable tabId="11" name="PivotTable2"/>
    <pivotTable tabId="21" name="PivotTable1"/>
    <pivotTable tabId="23" name="PivotTable2"/>
  </pivotTables>
  <data>
    <tabular pivotCacheId="746726546">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EEEAB9F-053D-46B5-A2E4-AD1BA3C46996}" sourceName="Month">
  <pivotTables>
    <pivotTable tabId="21" name="PivotTable9"/>
    <pivotTable tabId="12" name="PivotTable3"/>
    <pivotTable tabId="14" name="PivotTable5"/>
    <pivotTable tabId="21" name="PivotTable5"/>
    <pivotTable tabId="21" name="PivotTable6"/>
    <pivotTable tabId="21" name="PivotTable7"/>
    <pivotTable tabId="21" name="PivotTable8"/>
    <pivotTable tabId="11" name="PivotTable2"/>
    <pivotTable tabId="21" name="PivotTable1"/>
    <pivotTable tabId="23" name="PivotTable2"/>
  </pivotTables>
  <data>
    <tabular pivotCacheId="746726546">
      <items count="12">
        <i x="4" s="1"/>
        <i x="9" s="1"/>
        <i x="1" s="1"/>
        <i x="0" s="1"/>
        <i x="5" s="1"/>
        <i x="11" s="1"/>
        <i x="10" s="1"/>
        <i x="6" s="1"/>
        <i x="2" s="1"/>
        <i x="8" s="1"/>
        <i x="7"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DA522E-BB62-47F0-862F-81BA445998A9}" sourceName="Year">
  <pivotTables>
    <pivotTable tabId="21" name="PivotTable1"/>
    <pivotTable tabId="12" name="PivotTable3"/>
    <pivotTable tabId="14" name="PivotTable5"/>
    <pivotTable tabId="21" name="PivotTable5"/>
    <pivotTable tabId="21" name="PivotTable6"/>
    <pivotTable tabId="21" name="PivotTable7"/>
    <pivotTable tabId="21" name="PivotTable8"/>
    <pivotTable tabId="21" name="PivotTable9"/>
    <pivotTable tabId="11" name="PivotTable2"/>
  </pivotTables>
  <data>
    <tabular pivotCacheId="74672654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BB49AD0-E708-4DAE-8DB6-094C174C64C9}" cache="Slicer_Region1" caption="Region" showCaption="0" rowHeight="241300"/>
  <slicer name="Product 1" xr10:uid="{5DD0744C-BC06-438A-882E-C59A9980836A}" cache="Slicer_Product" caption="Product" showCaption="0" rowHeight="241300"/>
  <slicer name="Month 1" xr10:uid="{3F35B239-F7B3-468C-961A-A50587F01A69}" cache="Slicer_Month" caption="Month" showCaption="0" rowHeight="241300"/>
  <slicer name="Year" xr10:uid="{1D478C40-D62E-4347-B052-4A68A68B26DF}" cache="Slicer_Year" caption="Year" columnCount="2" showCaption="0"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460789-7EC6-4F8A-BBF5-062EAE3455F2}" name="Table1" displayName="Table1" ref="A1:M101" totalsRowShown="0" headerRowDxfId="1" headerRowBorderDxfId="10" tableBorderDxfId="9">
  <autoFilter ref="A1:M101" xr:uid="{DC460789-7EC6-4F8A-BBF5-062EAE3455F2}"/>
  <tableColumns count="13">
    <tableColumn id="1" xr3:uid="{55CEE72C-D794-4BFA-A893-80E932FB3C06}" name="Date" dataDxfId="8"/>
    <tableColumn id="2" xr3:uid="{C9F85B85-CD61-4AFE-8B3D-85CD022518D9}" name="Year"/>
    <tableColumn id="3" xr3:uid="{D74883ED-8343-45CE-B94B-70354DC17CA5}" name="Month"/>
    <tableColumn id="4" xr3:uid="{BD1B4BC3-BC1B-4E38-A62F-FAF7C28F8BB5}" name="Region"/>
    <tableColumn id="5" xr3:uid="{4F1D7CC5-13F5-4715-8685-34D89C17D472}" name="Product"/>
    <tableColumn id="6" xr3:uid="{D58CF673-FA4A-4B4A-A044-64262B4E03C5}" name="Channel"/>
    <tableColumn id="7" xr3:uid="{E5A1E524-53F0-4E89-ABE5-643EDF940B81}" name="UnitsSold" dataDxfId="7"/>
    <tableColumn id="8" xr3:uid="{9017083A-D284-4BD7-91F5-A231B469DA57}" name="Discount %" dataDxfId="6" dataCellStyle="Percent"/>
    <tableColumn id="9" xr3:uid="{E49BAB00-53AA-458F-821B-04E9AE931004}" name="Price(₹)" dataDxfId="5"/>
    <tableColumn id="10" xr3:uid="{56670370-EABE-4797-B43B-0A9932B24237}" name="CostPerUnit" dataDxfId="4"/>
    <tableColumn id="11" xr3:uid="{5FDF9817-0796-430F-863F-9301A1856852}" name="Revenue" dataDxfId="3"/>
    <tableColumn id="12" xr3:uid="{CFA5161E-0461-4162-A141-944F3C8D7FE3}" name="profit margin %" dataDxfId="0" dataCellStyle="Percent">
      <calculatedColumnFormula>M2/K2</calculatedColumnFormula>
    </tableColumn>
    <tableColumn id="13" xr3:uid="{BDF4CB25-5E53-4AC1-85C7-C9D7EB6A675D}" name="Profit"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89F7-AF5E-49DD-84BA-53170C42B152}">
  <dimension ref="A1:C9"/>
  <sheetViews>
    <sheetView workbookViewId="0">
      <selection activeCell="D3" sqref="D3"/>
    </sheetView>
  </sheetViews>
  <sheetFormatPr defaultRowHeight="14.5" x14ac:dyDescent="0.35"/>
  <cols>
    <col min="1" max="1" width="12.36328125" bestFit="1" customWidth="1"/>
    <col min="2" max="2" width="14.36328125" bestFit="1" customWidth="1"/>
    <col min="3" max="3" width="11.90625" bestFit="1" customWidth="1"/>
  </cols>
  <sheetData>
    <row r="1" spans="1:3" x14ac:dyDescent="0.35">
      <c r="A1" s="10" t="s">
        <v>36</v>
      </c>
      <c r="B1" s="11"/>
      <c r="C1" s="11"/>
    </row>
    <row r="2" spans="1:3" x14ac:dyDescent="0.35">
      <c r="A2" s="11"/>
      <c r="B2" s="11"/>
      <c r="C2" s="11"/>
    </row>
    <row r="3" spans="1:3" x14ac:dyDescent="0.35">
      <c r="A3" s="4" t="s">
        <v>32</v>
      </c>
      <c r="B3" t="s">
        <v>34</v>
      </c>
      <c r="C3" t="s">
        <v>35</v>
      </c>
    </row>
    <row r="4" spans="1:3" x14ac:dyDescent="0.35">
      <c r="A4" s="5" t="s">
        <v>24</v>
      </c>
      <c r="B4" s="2">
        <v>10573920.960000001</v>
      </c>
      <c r="C4" s="2">
        <v>-1532252.0399999998</v>
      </c>
    </row>
    <row r="5" spans="1:3" x14ac:dyDescent="0.35">
      <c r="A5" s="5" t="s">
        <v>17</v>
      </c>
      <c r="B5" s="2">
        <v>47812236.309999995</v>
      </c>
      <c r="C5" s="2">
        <v>5092657.3100000033</v>
      </c>
    </row>
    <row r="6" spans="1:3" x14ac:dyDescent="0.35">
      <c r="A6" s="5" t="s">
        <v>10</v>
      </c>
      <c r="B6" s="2">
        <v>26217068.050000004</v>
      </c>
      <c r="C6" s="2">
        <v>8580062.0500000007</v>
      </c>
    </row>
    <row r="7" spans="1:3" x14ac:dyDescent="0.35">
      <c r="A7" s="5" t="s">
        <v>14</v>
      </c>
      <c r="B7" s="2">
        <v>23685531.98</v>
      </c>
      <c r="C7" s="2">
        <v>1146357.9800000009</v>
      </c>
    </row>
    <row r="8" spans="1:3" x14ac:dyDescent="0.35">
      <c r="A8" s="5" t="s">
        <v>22</v>
      </c>
      <c r="B8" s="2">
        <v>45865168.060000002</v>
      </c>
      <c r="C8" s="2">
        <v>18906433.060000002</v>
      </c>
    </row>
    <row r="9" spans="1:3" x14ac:dyDescent="0.35">
      <c r="A9" s="5" t="s">
        <v>33</v>
      </c>
      <c r="B9" s="2">
        <v>154153925.36000001</v>
      </c>
      <c r="C9" s="2">
        <v>32193258.360000007</v>
      </c>
    </row>
  </sheetData>
  <mergeCells count="1">
    <mergeCell ref="A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8C820-CE93-4154-B36E-883490E59594}">
  <dimension ref="A1:C7"/>
  <sheetViews>
    <sheetView workbookViewId="0">
      <selection activeCell="S8" sqref="S8"/>
    </sheetView>
  </sheetViews>
  <sheetFormatPr defaultRowHeight="14.5" x14ac:dyDescent="0.35"/>
  <cols>
    <col min="1" max="1" width="12.36328125" bestFit="1" customWidth="1"/>
    <col min="2" max="2" width="14.36328125" bestFit="1" customWidth="1"/>
    <col min="3" max="3" width="11.90625" bestFit="1" customWidth="1"/>
  </cols>
  <sheetData>
    <row r="1" spans="1:3" x14ac:dyDescent="0.35">
      <c r="A1" s="12" t="s">
        <v>37</v>
      </c>
      <c r="B1" s="13"/>
      <c r="C1" s="13"/>
    </row>
    <row r="2" spans="1:3" x14ac:dyDescent="0.35">
      <c r="A2" s="13"/>
      <c r="B2" s="13"/>
      <c r="C2" s="13"/>
    </row>
    <row r="3" spans="1:3" x14ac:dyDescent="0.35">
      <c r="A3" s="4" t="s">
        <v>32</v>
      </c>
      <c r="B3" t="s">
        <v>34</v>
      </c>
      <c r="C3" t="s">
        <v>35</v>
      </c>
    </row>
    <row r="4" spans="1:3" x14ac:dyDescent="0.35">
      <c r="A4" s="5" t="s">
        <v>11</v>
      </c>
      <c r="B4" s="2">
        <v>51617501.130000003</v>
      </c>
      <c r="C4" s="2">
        <v>9308732.129999999</v>
      </c>
    </row>
    <row r="5" spans="1:3" x14ac:dyDescent="0.35">
      <c r="A5" s="5" t="s">
        <v>15</v>
      </c>
      <c r="B5" s="2">
        <v>52232859.839999996</v>
      </c>
      <c r="C5" s="2">
        <v>14476232.839999998</v>
      </c>
    </row>
    <row r="6" spans="1:3" x14ac:dyDescent="0.35">
      <c r="A6" s="5" t="s">
        <v>18</v>
      </c>
      <c r="B6" s="2">
        <v>50303564.390000001</v>
      </c>
      <c r="C6" s="2">
        <v>8408293.3900000043</v>
      </c>
    </row>
    <row r="7" spans="1:3" x14ac:dyDescent="0.35">
      <c r="A7" s="5" t="s">
        <v>33</v>
      </c>
      <c r="B7" s="2">
        <v>154153925.36000001</v>
      </c>
      <c r="C7" s="2">
        <v>32193258.360000003</v>
      </c>
    </row>
  </sheetData>
  <mergeCells count="1">
    <mergeCell ref="A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B497-7B91-4372-B6AC-BFF56AF95023}">
  <dimension ref="A1:C17"/>
  <sheetViews>
    <sheetView workbookViewId="0">
      <selection activeCell="C17" sqref="C17"/>
    </sheetView>
  </sheetViews>
  <sheetFormatPr defaultRowHeight="14.5" x14ac:dyDescent="0.35"/>
  <cols>
    <col min="1" max="1" width="13.7265625" bestFit="1" customWidth="1"/>
    <col min="2" max="2" width="11.90625" bestFit="1" customWidth="1"/>
    <col min="3" max="3" width="14.36328125" bestFit="1" customWidth="1"/>
  </cols>
  <sheetData>
    <row r="1" spans="1:3" x14ac:dyDescent="0.35">
      <c r="A1" s="14" t="s">
        <v>38</v>
      </c>
      <c r="B1" s="11"/>
      <c r="C1" s="11"/>
    </row>
    <row r="2" spans="1:3" x14ac:dyDescent="0.35">
      <c r="A2" s="11"/>
      <c r="B2" s="11"/>
      <c r="C2" s="11"/>
    </row>
    <row r="3" spans="1:3" x14ac:dyDescent="0.35">
      <c r="A3" s="4" t="s">
        <v>32</v>
      </c>
      <c r="B3" t="s">
        <v>35</v>
      </c>
      <c r="C3" t="s">
        <v>34</v>
      </c>
    </row>
    <row r="4" spans="1:3" x14ac:dyDescent="0.35">
      <c r="A4" s="5">
        <v>2022</v>
      </c>
      <c r="B4" s="2">
        <v>32193258.359999996</v>
      </c>
      <c r="C4" s="2">
        <v>154153925.36000004</v>
      </c>
    </row>
    <row r="5" spans="1:3" x14ac:dyDescent="0.35">
      <c r="A5" s="6" t="s">
        <v>21</v>
      </c>
      <c r="B5" s="2">
        <v>4444086.16</v>
      </c>
      <c r="C5" s="2">
        <v>15820820.16</v>
      </c>
    </row>
    <row r="6" spans="1:3" x14ac:dyDescent="0.35">
      <c r="A6" s="6" t="s">
        <v>29</v>
      </c>
      <c r="B6" s="2">
        <v>1710150.71</v>
      </c>
      <c r="C6" s="2">
        <v>11886856.710000001</v>
      </c>
    </row>
    <row r="7" spans="1:3" x14ac:dyDescent="0.35">
      <c r="A7" s="6" t="s">
        <v>12</v>
      </c>
      <c r="B7" s="2">
        <v>2470400.2000000002</v>
      </c>
      <c r="C7" s="2">
        <v>11597600.200000001</v>
      </c>
    </row>
    <row r="8" spans="1:3" x14ac:dyDescent="0.35">
      <c r="A8" s="6" t="s">
        <v>8</v>
      </c>
      <c r="B8" s="2">
        <v>406054.28999999911</v>
      </c>
      <c r="C8" s="2">
        <v>16709640.290000001</v>
      </c>
    </row>
    <row r="9" spans="1:3" x14ac:dyDescent="0.35">
      <c r="A9" s="6" t="s">
        <v>23</v>
      </c>
      <c r="B9" s="2">
        <v>3397185.76</v>
      </c>
      <c r="C9" s="2">
        <v>10366626.76</v>
      </c>
    </row>
    <row r="10" spans="1:3" x14ac:dyDescent="0.35">
      <c r="A10" s="6" t="s">
        <v>31</v>
      </c>
      <c r="B10" s="2">
        <v>2199672.7600000002</v>
      </c>
      <c r="C10" s="2">
        <v>12996668.760000002</v>
      </c>
    </row>
    <row r="11" spans="1:3" x14ac:dyDescent="0.35">
      <c r="A11" s="6" t="s">
        <v>30</v>
      </c>
      <c r="B11" s="2">
        <v>9654001.5399999991</v>
      </c>
      <c r="C11" s="2">
        <v>14929418.539999999</v>
      </c>
    </row>
    <row r="12" spans="1:3" x14ac:dyDescent="0.35">
      <c r="A12" s="6" t="s">
        <v>25</v>
      </c>
      <c r="B12" s="2">
        <v>-262952.22999999952</v>
      </c>
      <c r="C12" s="2">
        <v>11064012.770000003</v>
      </c>
    </row>
    <row r="13" spans="1:3" x14ac:dyDescent="0.35">
      <c r="A13" s="6" t="s">
        <v>16</v>
      </c>
      <c r="B13" s="2">
        <v>4733465.74</v>
      </c>
      <c r="C13" s="2">
        <v>18081464.740000002</v>
      </c>
    </row>
    <row r="14" spans="1:3" x14ac:dyDescent="0.35">
      <c r="A14" s="6" t="s">
        <v>28</v>
      </c>
      <c r="B14" s="2">
        <v>-13438.389999999898</v>
      </c>
      <c r="C14" s="2">
        <v>12070950.609999999</v>
      </c>
    </row>
    <row r="15" spans="1:3" x14ac:dyDescent="0.35">
      <c r="A15" s="6" t="s">
        <v>26</v>
      </c>
      <c r="B15" s="2">
        <v>3412529.8299999991</v>
      </c>
      <c r="C15" s="2">
        <v>13263538.83</v>
      </c>
    </row>
    <row r="16" spans="1:3" x14ac:dyDescent="0.35">
      <c r="A16" s="6" t="s">
        <v>19</v>
      </c>
      <c r="B16" s="2">
        <v>42101.989999999991</v>
      </c>
      <c r="C16" s="2">
        <v>5366326.99</v>
      </c>
    </row>
    <row r="17" spans="1:3" x14ac:dyDescent="0.35">
      <c r="A17" s="5" t="s">
        <v>33</v>
      </c>
      <c r="B17" s="2">
        <v>32193258.359999996</v>
      </c>
      <c r="C17" s="2">
        <v>154153925.36000004</v>
      </c>
    </row>
  </sheetData>
  <mergeCells count="1">
    <mergeCell ref="A1: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3D8D-77B1-4B9F-B95C-24675B06D1AB}">
  <dimension ref="A3:C9"/>
  <sheetViews>
    <sheetView workbookViewId="0">
      <selection activeCell="M6" sqref="M6"/>
    </sheetView>
  </sheetViews>
  <sheetFormatPr defaultRowHeight="14.5" x14ac:dyDescent="0.35"/>
  <cols>
    <col min="1" max="1" width="12.36328125" bestFit="1" customWidth="1"/>
    <col min="2" max="2" width="14.36328125" bestFit="1" customWidth="1"/>
    <col min="3" max="3" width="23.36328125" bestFit="1" customWidth="1"/>
  </cols>
  <sheetData>
    <row r="3" spans="1:3" x14ac:dyDescent="0.35">
      <c r="A3" s="4" t="s">
        <v>32</v>
      </c>
      <c r="B3" t="s">
        <v>34</v>
      </c>
      <c r="C3" t="s">
        <v>48</v>
      </c>
    </row>
    <row r="4" spans="1:3" x14ac:dyDescent="0.35">
      <c r="A4" s="5" t="s">
        <v>24</v>
      </c>
      <c r="B4" s="2">
        <v>32387645.66</v>
      </c>
      <c r="C4" s="23">
        <v>-0.28086200835498693</v>
      </c>
    </row>
    <row r="5" spans="1:3" x14ac:dyDescent="0.35">
      <c r="A5" s="5" t="s">
        <v>17</v>
      </c>
      <c r="B5" s="2">
        <v>88874240.059999987</v>
      </c>
      <c r="C5" s="23">
        <v>-0.26481273917325754</v>
      </c>
    </row>
    <row r="6" spans="1:3" x14ac:dyDescent="0.35">
      <c r="A6" s="5" t="s">
        <v>10</v>
      </c>
      <c r="B6" s="2">
        <v>47389984.100000001</v>
      </c>
      <c r="C6" s="23">
        <v>0.16880076201732075</v>
      </c>
    </row>
    <row r="7" spans="1:3" x14ac:dyDescent="0.35">
      <c r="A7" s="5" t="s">
        <v>14</v>
      </c>
      <c r="B7" s="2">
        <v>59704005.470000006</v>
      </c>
      <c r="C7" s="23">
        <v>-0.2569831533134912</v>
      </c>
    </row>
    <row r="8" spans="1:3" x14ac:dyDescent="0.35">
      <c r="A8" s="5" t="s">
        <v>22</v>
      </c>
      <c r="B8" s="2">
        <v>77223625.310000002</v>
      </c>
      <c r="C8" s="23">
        <v>0.37350651687034803</v>
      </c>
    </row>
    <row r="9" spans="1:3" x14ac:dyDescent="0.35">
      <c r="A9" s="5" t="s">
        <v>33</v>
      </c>
      <c r="B9" s="2">
        <v>305579500.59999985</v>
      </c>
      <c r="C9" s="23">
        <v>-5.2679210441848631E-2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abSelected="1" zoomScale="89" zoomScaleNormal="89" workbookViewId="0">
      <pane ySplit="1" topLeftCell="A2" activePane="bottomLeft" state="frozen"/>
      <selection activeCell="C1" sqref="C1"/>
      <selection pane="bottomLeft" activeCell="J2" sqref="J2"/>
    </sheetView>
  </sheetViews>
  <sheetFormatPr defaultRowHeight="14.5" x14ac:dyDescent="0.35"/>
  <cols>
    <col min="1" max="1" width="10.08984375" style="8" customWidth="1"/>
    <col min="2" max="2" width="10.08984375" customWidth="1"/>
    <col min="3" max="3" width="11.6328125" customWidth="1"/>
    <col min="4" max="4" width="13.453125" customWidth="1"/>
    <col min="5" max="5" width="12.90625" customWidth="1"/>
    <col min="6" max="6" width="13.08984375" customWidth="1"/>
    <col min="7" max="7" width="14.54296875" style="7" customWidth="1"/>
    <col min="8" max="8" width="17.54296875" style="1" customWidth="1"/>
    <col min="9" max="9" width="13.453125" style="2" customWidth="1"/>
    <col min="10" max="10" width="18.6328125" style="2" customWidth="1"/>
    <col min="11" max="11" width="16.90625" style="2" customWidth="1"/>
    <col min="12" max="12" width="20.90625" style="1" customWidth="1"/>
    <col min="13" max="13" width="15.1796875" style="2" customWidth="1"/>
  </cols>
  <sheetData>
    <row r="1" spans="1:14" ht="41" customHeight="1" x14ac:dyDescent="0.35">
      <c r="A1" s="15" t="s">
        <v>0</v>
      </c>
      <c r="B1" s="16" t="s">
        <v>1</v>
      </c>
      <c r="C1" s="16" t="s">
        <v>2</v>
      </c>
      <c r="D1" s="16" t="s">
        <v>3</v>
      </c>
      <c r="E1" s="16" t="s">
        <v>4</v>
      </c>
      <c r="F1" s="16" t="s">
        <v>5</v>
      </c>
      <c r="G1" s="17" t="s">
        <v>6</v>
      </c>
      <c r="H1" s="18" t="s">
        <v>44</v>
      </c>
      <c r="I1" s="19" t="s">
        <v>39</v>
      </c>
      <c r="J1" s="20" t="s">
        <v>7</v>
      </c>
      <c r="K1" s="20" t="s">
        <v>45</v>
      </c>
      <c r="L1" s="18" t="s">
        <v>47</v>
      </c>
      <c r="M1" s="20" t="s">
        <v>46</v>
      </c>
      <c r="N1" s="3"/>
    </row>
    <row r="2" spans="1:14" x14ac:dyDescent="0.35">
      <c r="A2" s="8">
        <v>44664</v>
      </c>
      <c r="B2">
        <v>2022</v>
      </c>
      <c r="C2" t="s">
        <v>8</v>
      </c>
      <c r="D2" t="s">
        <v>9</v>
      </c>
      <c r="E2" t="s">
        <v>10</v>
      </c>
      <c r="F2" t="s">
        <v>11</v>
      </c>
      <c r="G2" s="7">
        <v>35</v>
      </c>
      <c r="H2" s="1">
        <v>0.28000000000000003</v>
      </c>
      <c r="I2" s="2">
        <v>32932</v>
      </c>
      <c r="J2" s="2">
        <v>30569</v>
      </c>
      <c r="K2" s="2">
        <v>829886.4</v>
      </c>
      <c r="L2" s="21">
        <f t="shared" ref="L2:L33" si="0">M2/K2</f>
        <v>-0.289230670607447</v>
      </c>
      <c r="M2" s="2">
        <v>-240028.6</v>
      </c>
    </row>
    <row r="3" spans="1:14" x14ac:dyDescent="0.35">
      <c r="A3" s="8">
        <v>44997</v>
      </c>
      <c r="B3">
        <v>2023</v>
      </c>
      <c r="C3" t="s">
        <v>12</v>
      </c>
      <c r="D3" t="s">
        <v>13</v>
      </c>
      <c r="E3" t="s">
        <v>14</v>
      </c>
      <c r="F3" t="s">
        <v>15</v>
      </c>
      <c r="G3" s="7">
        <v>108</v>
      </c>
      <c r="H3" s="1">
        <v>0.23</v>
      </c>
      <c r="I3" s="2">
        <v>66389</v>
      </c>
      <c r="J3" s="2">
        <v>26322</v>
      </c>
      <c r="K3" s="2">
        <v>5520909.2400000002</v>
      </c>
      <c r="L3" s="21">
        <f t="shared" si="0"/>
        <v>0.48508916259597851</v>
      </c>
      <c r="M3" s="2">
        <v>2678133.2400000002</v>
      </c>
    </row>
    <row r="4" spans="1:14" x14ac:dyDescent="0.35">
      <c r="A4" s="8">
        <v>44832</v>
      </c>
      <c r="B4">
        <v>2022</v>
      </c>
      <c r="C4" t="s">
        <v>16</v>
      </c>
      <c r="D4" t="s">
        <v>9</v>
      </c>
      <c r="E4" t="s">
        <v>17</v>
      </c>
      <c r="F4" t="s">
        <v>18</v>
      </c>
      <c r="G4" s="7">
        <v>59</v>
      </c>
      <c r="H4" s="1">
        <v>0.03</v>
      </c>
      <c r="I4" s="2">
        <v>14435</v>
      </c>
      <c r="J4" s="2">
        <v>22065</v>
      </c>
      <c r="K4" s="2">
        <v>826115.04999999993</v>
      </c>
      <c r="L4" s="21">
        <f t="shared" si="0"/>
        <v>-0.57585193490906639</v>
      </c>
      <c r="M4" s="2">
        <v>-475719.95000000013</v>
      </c>
    </row>
    <row r="5" spans="1:14" x14ac:dyDescent="0.35">
      <c r="A5" s="8">
        <v>44668</v>
      </c>
      <c r="B5">
        <v>2022</v>
      </c>
      <c r="C5" t="s">
        <v>8</v>
      </c>
      <c r="D5" t="s">
        <v>9</v>
      </c>
      <c r="E5" t="s">
        <v>17</v>
      </c>
      <c r="F5" t="s">
        <v>18</v>
      </c>
      <c r="G5" s="7">
        <v>162</v>
      </c>
      <c r="H5" s="1">
        <v>0.24</v>
      </c>
      <c r="I5" s="2">
        <v>59340</v>
      </c>
      <c r="J5" s="2">
        <v>20924</v>
      </c>
      <c r="K5" s="2">
        <v>7305940.7999999998</v>
      </c>
      <c r="L5" s="21">
        <f t="shared" si="0"/>
        <v>0.53603675518421934</v>
      </c>
      <c r="M5" s="2">
        <v>3916252.8</v>
      </c>
    </row>
    <row r="6" spans="1:14" x14ac:dyDescent="0.35">
      <c r="A6" s="8">
        <v>44633</v>
      </c>
      <c r="B6">
        <v>2022</v>
      </c>
      <c r="C6" t="s">
        <v>12</v>
      </c>
      <c r="D6" t="s">
        <v>9</v>
      </c>
      <c r="E6" t="s">
        <v>17</v>
      </c>
      <c r="F6" t="s">
        <v>11</v>
      </c>
      <c r="G6" s="7">
        <v>161</v>
      </c>
      <c r="H6" s="1">
        <v>0.2</v>
      </c>
      <c r="I6" s="2">
        <v>49078</v>
      </c>
      <c r="J6" s="2">
        <v>25556</v>
      </c>
      <c r="K6" s="2">
        <v>6321246.4000000004</v>
      </c>
      <c r="L6" s="21">
        <f t="shared" si="0"/>
        <v>0.34909735523044944</v>
      </c>
      <c r="M6" s="2">
        <v>2206730.4</v>
      </c>
    </row>
    <row r="7" spans="1:14" x14ac:dyDescent="0.35">
      <c r="A7" s="8">
        <v>45262</v>
      </c>
      <c r="B7">
        <v>2023</v>
      </c>
      <c r="C7" t="s">
        <v>19</v>
      </c>
      <c r="D7" t="s">
        <v>20</v>
      </c>
      <c r="E7" t="s">
        <v>17</v>
      </c>
      <c r="F7" t="s">
        <v>18</v>
      </c>
      <c r="G7" s="7">
        <v>22</v>
      </c>
      <c r="H7" s="1">
        <v>0.28000000000000003</v>
      </c>
      <c r="I7" s="2">
        <v>18296</v>
      </c>
      <c r="J7" s="2">
        <v>29962</v>
      </c>
      <c r="K7" s="2">
        <v>289808.64000000001</v>
      </c>
      <c r="L7" s="21">
        <f t="shared" si="0"/>
        <v>-1.2744801535247534</v>
      </c>
      <c r="M7" s="2">
        <v>-369355.36</v>
      </c>
    </row>
    <row r="8" spans="1:14" x14ac:dyDescent="0.35">
      <c r="A8" s="8">
        <v>44582</v>
      </c>
      <c r="B8">
        <v>2022</v>
      </c>
      <c r="C8" t="s">
        <v>21</v>
      </c>
      <c r="D8" t="s">
        <v>20</v>
      </c>
      <c r="E8" t="s">
        <v>22</v>
      </c>
      <c r="F8" t="s">
        <v>15</v>
      </c>
      <c r="G8" s="7">
        <v>69</v>
      </c>
      <c r="H8" s="1">
        <v>0.24</v>
      </c>
      <c r="I8" s="2">
        <v>56293</v>
      </c>
      <c r="J8" s="2">
        <v>31295</v>
      </c>
      <c r="K8" s="2">
        <v>2952004.92</v>
      </c>
      <c r="L8" s="21">
        <f t="shared" si="0"/>
        <v>0.26851239800779192</v>
      </c>
      <c r="M8" s="2">
        <v>792649.91999999993</v>
      </c>
    </row>
    <row r="9" spans="1:14" x14ac:dyDescent="0.35">
      <c r="A9" s="8">
        <v>45176</v>
      </c>
      <c r="B9">
        <v>2023</v>
      </c>
      <c r="C9" t="s">
        <v>16</v>
      </c>
      <c r="D9" t="s">
        <v>20</v>
      </c>
      <c r="E9" t="s">
        <v>17</v>
      </c>
      <c r="F9" t="s">
        <v>11</v>
      </c>
      <c r="G9" s="7">
        <v>144</v>
      </c>
      <c r="H9" s="1">
        <v>0.03</v>
      </c>
      <c r="I9" s="2">
        <v>35445</v>
      </c>
      <c r="J9" s="2">
        <v>16807</v>
      </c>
      <c r="K9" s="2">
        <v>4950957.5999999996</v>
      </c>
      <c r="L9" s="21">
        <f t="shared" si="0"/>
        <v>0.51116365852133339</v>
      </c>
      <c r="M9" s="2">
        <v>2530749.6</v>
      </c>
    </row>
    <row r="10" spans="1:14" x14ac:dyDescent="0.35">
      <c r="A10" s="8">
        <v>44683</v>
      </c>
      <c r="B10">
        <v>2022</v>
      </c>
      <c r="C10" t="s">
        <v>23</v>
      </c>
      <c r="D10" t="s">
        <v>13</v>
      </c>
      <c r="E10" t="s">
        <v>14</v>
      </c>
      <c r="F10" t="s">
        <v>15</v>
      </c>
      <c r="G10" s="7">
        <v>66</v>
      </c>
      <c r="H10" s="1">
        <v>0.09</v>
      </c>
      <c r="I10" s="2">
        <v>18245</v>
      </c>
      <c r="J10" s="2">
        <v>29432</v>
      </c>
      <c r="K10" s="2">
        <v>1095794.7</v>
      </c>
      <c r="L10" s="21">
        <f t="shared" si="0"/>
        <v>-0.7726970207101751</v>
      </c>
      <c r="M10" s="2">
        <v>-846717.3</v>
      </c>
    </row>
    <row r="11" spans="1:14" x14ac:dyDescent="0.35">
      <c r="A11" s="8">
        <v>45028</v>
      </c>
      <c r="B11">
        <v>2023</v>
      </c>
      <c r="C11" t="s">
        <v>8</v>
      </c>
      <c r="D11" t="s">
        <v>9</v>
      </c>
      <c r="E11" t="s">
        <v>24</v>
      </c>
      <c r="F11" t="s">
        <v>15</v>
      </c>
      <c r="G11" s="7">
        <v>45</v>
      </c>
      <c r="H11" s="1">
        <v>0.04</v>
      </c>
      <c r="I11" s="2">
        <v>65403</v>
      </c>
      <c r="J11" s="2">
        <v>20749</v>
      </c>
      <c r="K11" s="2">
        <v>2825409.6</v>
      </c>
      <c r="L11" s="21">
        <f t="shared" si="0"/>
        <v>0.66953287056149313</v>
      </c>
      <c r="M11" s="2">
        <v>1891704.6</v>
      </c>
    </row>
    <row r="12" spans="1:14" x14ac:dyDescent="0.35">
      <c r="A12" s="8">
        <v>44776</v>
      </c>
      <c r="B12">
        <v>2022</v>
      </c>
      <c r="C12" t="s">
        <v>25</v>
      </c>
      <c r="D12" t="s">
        <v>20</v>
      </c>
      <c r="E12" t="s">
        <v>17</v>
      </c>
      <c r="F12" t="s">
        <v>18</v>
      </c>
      <c r="G12" s="7">
        <v>182</v>
      </c>
      <c r="H12" s="1">
        <v>0.08</v>
      </c>
      <c r="I12" s="2">
        <v>34124</v>
      </c>
      <c r="J12" s="2">
        <v>29256</v>
      </c>
      <c r="K12" s="2">
        <v>5713722.5600000015</v>
      </c>
      <c r="L12" s="21">
        <f t="shared" si="0"/>
        <v>6.8104559840581488E-2</v>
      </c>
      <c r="M12" s="2">
        <v>389130.56000000052</v>
      </c>
    </row>
    <row r="13" spans="1:14" x14ac:dyDescent="0.35">
      <c r="A13" s="8">
        <v>44892</v>
      </c>
      <c r="B13">
        <v>2022</v>
      </c>
      <c r="C13" t="s">
        <v>26</v>
      </c>
      <c r="D13" t="s">
        <v>20</v>
      </c>
      <c r="E13" t="s">
        <v>22</v>
      </c>
      <c r="F13" t="s">
        <v>18</v>
      </c>
      <c r="G13" s="7">
        <v>29</v>
      </c>
      <c r="H13" s="1">
        <v>0.23</v>
      </c>
      <c r="I13" s="2">
        <v>34899</v>
      </c>
      <c r="J13" s="2">
        <v>4324</v>
      </c>
      <c r="K13" s="2">
        <v>779294.67</v>
      </c>
      <c r="L13" s="21">
        <f t="shared" si="0"/>
        <v>0.83909039182829259</v>
      </c>
      <c r="M13" s="2">
        <v>653898.67000000004</v>
      </c>
    </row>
    <row r="14" spans="1:14" x14ac:dyDescent="0.35">
      <c r="A14" s="8">
        <v>45020</v>
      </c>
      <c r="B14">
        <v>2023</v>
      </c>
      <c r="C14" t="s">
        <v>8</v>
      </c>
      <c r="D14" t="s">
        <v>13</v>
      </c>
      <c r="E14" t="s">
        <v>22</v>
      </c>
      <c r="F14" t="s">
        <v>18</v>
      </c>
      <c r="G14" s="7">
        <v>74</v>
      </c>
      <c r="H14" s="1">
        <v>0.02</v>
      </c>
      <c r="I14" s="2">
        <v>48919</v>
      </c>
      <c r="J14" s="2">
        <v>28731</v>
      </c>
      <c r="K14" s="2">
        <v>3547605.88</v>
      </c>
      <c r="L14" s="21">
        <f t="shared" si="0"/>
        <v>0.4006961111474987</v>
      </c>
      <c r="M14" s="2">
        <v>1421511.88</v>
      </c>
    </row>
    <row r="15" spans="1:14" x14ac:dyDescent="0.35">
      <c r="A15" s="8">
        <v>44649</v>
      </c>
      <c r="B15">
        <v>2022</v>
      </c>
      <c r="C15" t="s">
        <v>12</v>
      </c>
      <c r="D15" t="s">
        <v>20</v>
      </c>
      <c r="E15" t="s">
        <v>17</v>
      </c>
      <c r="F15" t="s">
        <v>18</v>
      </c>
      <c r="G15" s="7">
        <v>17</v>
      </c>
      <c r="H15" s="1">
        <v>0.16</v>
      </c>
      <c r="I15" s="2">
        <v>48225</v>
      </c>
      <c r="J15" s="2">
        <v>38909</v>
      </c>
      <c r="K15" s="2">
        <v>688653</v>
      </c>
      <c r="L15" s="21">
        <f t="shared" si="0"/>
        <v>3.9497395640474955E-2</v>
      </c>
      <c r="M15" s="2">
        <v>27200</v>
      </c>
    </row>
    <row r="16" spans="1:14" x14ac:dyDescent="0.35">
      <c r="A16" s="8">
        <v>44934</v>
      </c>
      <c r="B16">
        <v>2023</v>
      </c>
      <c r="C16" t="s">
        <v>21</v>
      </c>
      <c r="D16" t="s">
        <v>13</v>
      </c>
      <c r="E16" t="s">
        <v>24</v>
      </c>
      <c r="F16" t="s">
        <v>18</v>
      </c>
      <c r="G16" s="7">
        <v>153</v>
      </c>
      <c r="H16" s="1">
        <v>0.02</v>
      </c>
      <c r="I16" s="2">
        <v>60769</v>
      </c>
      <c r="J16" s="2">
        <v>26803</v>
      </c>
      <c r="K16" s="2">
        <v>9111703.8599999994</v>
      </c>
      <c r="L16" s="21">
        <f t="shared" si="0"/>
        <v>0.54993499975316362</v>
      </c>
      <c r="M16" s="2">
        <v>5010844.8599999994</v>
      </c>
    </row>
    <row r="17" spans="1:13" x14ac:dyDescent="0.35">
      <c r="A17" s="8">
        <v>44661</v>
      </c>
      <c r="B17">
        <v>2022</v>
      </c>
      <c r="C17" t="s">
        <v>8</v>
      </c>
      <c r="D17" t="s">
        <v>27</v>
      </c>
      <c r="E17" t="s">
        <v>17</v>
      </c>
      <c r="F17" t="s">
        <v>11</v>
      </c>
      <c r="G17" s="7">
        <v>151</v>
      </c>
      <c r="H17" s="1">
        <v>0.15</v>
      </c>
      <c r="I17" s="2">
        <v>40247</v>
      </c>
      <c r="J17" s="2">
        <v>22870</v>
      </c>
      <c r="K17" s="2">
        <v>5165702.45</v>
      </c>
      <c r="L17" s="21">
        <f t="shared" si="0"/>
        <v>0.33148104571915477</v>
      </c>
      <c r="M17" s="2">
        <v>1712332.45</v>
      </c>
    </row>
    <row r="18" spans="1:13" x14ac:dyDescent="0.35">
      <c r="A18" s="8">
        <v>45225</v>
      </c>
      <c r="B18">
        <v>2023</v>
      </c>
      <c r="C18" t="s">
        <v>28</v>
      </c>
      <c r="D18" t="s">
        <v>20</v>
      </c>
      <c r="E18" t="s">
        <v>22</v>
      </c>
      <c r="F18" t="s">
        <v>15</v>
      </c>
      <c r="G18" s="7">
        <v>124</v>
      </c>
      <c r="H18" s="1">
        <v>0.03</v>
      </c>
      <c r="I18" s="2">
        <v>60636</v>
      </c>
      <c r="J18" s="2">
        <v>37578</v>
      </c>
      <c r="K18" s="2">
        <v>7293298.0800000001</v>
      </c>
      <c r="L18" s="21">
        <f t="shared" si="0"/>
        <v>0.36110221344470267</v>
      </c>
      <c r="M18" s="2">
        <v>2633626.08</v>
      </c>
    </row>
    <row r="19" spans="1:13" x14ac:dyDescent="0.35">
      <c r="A19" s="8">
        <v>44692</v>
      </c>
      <c r="B19">
        <v>2022</v>
      </c>
      <c r="C19" t="s">
        <v>23</v>
      </c>
      <c r="D19" t="s">
        <v>27</v>
      </c>
      <c r="E19" t="s">
        <v>10</v>
      </c>
      <c r="F19" t="s">
        <v>15</v>
      </c>
      <c r="G19" s="7">
        <v>152</v>
      </c>
      <c r="H19" s="1">
        <v>0.17</v>
      </c>
      <c r="I19" s="2">
        <v>34222</v>
      </c>
      <c r="J19" s="2">
        <v>9588</v>
      </c>
      <c r="K19" s="2">
        <v>4317447.5199999996</v>
      </c>
      <c r="L19" s="21">
        <f t="shared" si="0"/>
        <v>0.66244499944726609</v>
      </c>
      <c r="M19" s="2">
        <v>2860071.52</v>
      </c>
    </row>
    <row r="20" spans="1:13" x14ac:dyDescent="0.35">
      <c r="A20" s="8">
        <v>45223</v>
      </c>
      <c r="B20">
        <v>2023</v>
      </c>
      <c r="C20" t="s">
        <v>28</v>
      </c>
      <c r="D20" t="s">
        <v>13</v>
      </c>
      <c r="E20" t="s">
        <v>14</v>
      </c>
      <c r="F20" t="s">
        <v>15</v>
      </c>
      <c r="G20" s="7">
        <v>101</v>
      </c>
      <c r="H20" s="1">
        <v>0.16</v>
      </c>
      <c r="I20" s="2">
        <v>31211</v>
      </c>
      <c r="J20" s="2">
        <v>29790</v>
      </c>
      <c r="K20" s="2">
        <v>2647941.2400000002</v>
      </c>
      <c r="L20" s="21">
        <f t="shared" si="0"/>
        <v>-0.13627521432462003</v>
      </c>
      <c r="M20" s="2">
        <v>-360848.76000000018</v>
      </c>
    </row>
    <row r="21" spans="1:13" x14ac:dyDescent="0.35">
      <c r="A21" s="8">
        <v>44870</v>
      </c>
      <c r="B21">
        <v>2022</v>
      </c>
      <c r="C21" t="s">
        <v>26</v>
      </c>
      <c r="D21" t="s">
        <v>9</v>
      </c>
      <c r="E21" t="s">
        <v>22</v>
      </c>
      <c r="F21" t="s">
        <v>15</v>
      </c>
      <c r="G21" s="7">
        <v>107</v>
      </c>
      <c r="H21" s="1">
        <v>0.06</v>
      </c>
      <c r="I21" s="2">
        <v>67752</v>
      </c>
      <c r="J21" s="2">
        <v>28289</v>
      </c>
      <c r="K21" s="2">
        <v>6814496.1599999992</v>
      </c>
      <c r="L21" s="21">
        <f t="shared" si="0"/>
        <v>0.55581118120404072</v>
      </c>
      <c r="M21" s="2">
        <v>3787573.1599999992</v>
      </c>
    </row>
    <row r="22" spans="1:13" x14ac:dyDescent="0.35">
      <c r="A22" s="8">
        <v>44905</v>
      </c>
      <c r="B22">
        <v>2022</v>
      </c>
      <c r="C22" t="s">
        <v>19</v>
      </c>
      <c r="D22" t="s">
        <v>20</v>
      </c>
      <c r="E22" t="s">
        <v>17</v>
      </c>
      <c r="F22" t="s">
        <v>18</v>
      </c>
      <c r="G22" s="7">
        <v>75</v>
      </c>
      <c r="H22" s="1">
        <v>0.23</v>
      </c>
      <c r="I22" s="2">
        <v>61573</v>
      </c>
      <c r="J22" s="2">
        <v>31178</v>
      </c>
      <c r="K22" s="2">
        <v>3555840.75</v>
      </c>
      <c r="L22" s="21">
        <f t="shared" si="0"/>
        <v>0.34239180986943807</v>
      </c>
      <c r="M22" s="2">
        <v>1217490.75</v>
      </c>
    </row>
    <row r="23" spans="1:13" x14ac:dyDescent="0.35">
      <c r="A23" s="8">
        <v>45053</v>
      </c>
      <c r="B23">
        <v>2023</v>
      </c>
      <c r="C23" t="s">
        <v>23</v>
      </c>
      <c r="D23" t="s">
        <v>13</v>
      </c>
      <c r="E23" t="s">
        <v>14</v>
      </c>
      <c r="F23" t="s">
        <v>15</v>
      </c>
      <c r="G23" s="7">
        <v>41</v>
      </c>
      <c r="H23" s="1">
        <v>0.22</v>
      </c>
      <c r="I23" s="2">
        <v>64101</v>
      </c>
      <c r="J23" s="2">
        <v>31710</v>
      </c>
      <c r="K23" s="2">
        <v>2049949.98</v>
      </c>
      <c r="L23" s="21">
        <f t="shared" si="0"/>
        <v>0.36578452514241344</v>
      </c>
      <c r="M23" s="2">
        <v>749839.98</v>
      </c>
    </row>
    <row r="24" spans="1:13" x14ac:dyDescent="0.35">
      <c r="A24" s="8">
        <v>44975</v>
      </c>
      <c r="B24">
        <v>2023</v>
      </c>
      <c r="C24" t="s">
        <v>29</v>
      </c>
      <c r="D24" t="s">
        <v>9</v>
      </c>
      <c r="E24" t="s">
        <v>17</v>
      </c>
      <c r="F24" t="s">
        <v>11</v>
      </c>
      <c r="G24" s="7">
        <v>95</v>
      </c>
      <c r="H24" s="1">
        <v>0.28999999999999998</v>
      </c>
      <c r="I24" s="2">
        <v>42220</v>
      </c>
      <c r="J24" s="2">
        <v>18485</v>
      </c>
      <c r="K24" s="2">
        <v>2847739</v>
      </c>
      <c r="L24" s="21">
        <f t="shared" si="0"/>
        <v>0.38334411966827014</v>
      </c>
      <c r="M24" s="2">
        <v>1091664</v>
      </c>
    </row>
    <row r="25" spans="1:13" x14ac:dyDescent="0.35">
      <c r="A25" s="8">
        <v>44947</v>
      </c>
      <c r="B25">
        <v>2023</v>
      </c>
      <c r="C25" t="s">
        <v>21</v>
      </c>
      <c r="D25" t="s">
        <v>9</v>
      </c>
      <c r="E25" t="s">
        <v>17</v>
      </c>
      <c r="F25" t="s">
        <v>11</v>
      </c>
      <c r="G25" s="7">
        <v>60</v>
      </c>
      <c r="H25" s="1">
        <v>0.04</v>
      </c>
      <c r="I25" s="2">
        <v>31646</v>
      </c>
      <c r="J25" s="2">
        <v>23652</v>
      </c>
      <c r="K25" s="2">
        <v>1822809.6</v>
      </c>
      <c r="L25" s="21">
        <f t="shared" si="0"/>
        <v>0.22146558806800221</v>
      </c>
      <c r="M25" s="2">
        <v>403689.59999999992</v>
      </c>
    </row>
    <row r="26" spans="1:13" x14ac:dyDescent="0.35">
      <c r="A26" s="8">
        <v>44753</v>
      </c>
      <c r="B26">
        <v>2022</v>
      </c>
      <c r="C26" t="s">
        <v>30</v>
      </c>
      <c r="D26" t="s">
        <v>27</v>
      </c>
      <c r="E26" t="s">
        <v>10</v>
      </c>
      <c r="F26" t="s">
        <v>15</v>
      </c>
      <c r="G26" s="7">
        <v>162</v>
      </c>
      <c r="H26" s="1">
        <v>0.11</v>
      </c>
      <c r="I26" s="2">
        <v>43649</v>
      </c>
      <c r="J26" s="2">
        <v>7748</v>
      </c>
      <c r="K26" s="2">
        <v>6293312.8200000003</v>
      </c>
      <c r="L26" s="21">
        <f t="shared" si="0"/>
        <v>0.80055401091598688</v>
      </c>
      <c r="M26" s="2">
        <v>5038136.82</v>
      </c>
    </row>
    <row r="27" spans="1:13" x14ac:dyDescent="0.35">
      <c r="A27" s="8">
        <v>44838</v>
      </c>
      <c r="B27">
        <v>2022</v>
      </c>
      <c r="C27" t="s">
        <v>28</v>
      </c>
      <c r="D27" t="s">
        <v>13</v>
      </c>
      <c r="E27" t="s">
        <v>14</v>
      </c>
      <c r="F27" t="s">
        <v>15</v>
      </c>
      <c r="G27" s="7">
        <v>195</v>
      </c>
      <c r="H27" s="1">
        <v>0.16</v>
      </c>
      <c r="I27" s="2">
        <v>28049</v>
      </c>
      <c r="J27" s="2">
        <v>24233</v>
      </c>
      <c r="K27" s="2">
        <v>4594426.2</v>
      </c>
      <c r="L27" s="21">
        <f t="shared" si="0"/>
        <v>-2.8514725081447558E-2</v>
      </c>
      <c r="M27" s="2">
        <v>-131008.7999999998</v>
      </c>
    </row>
    <row r="28" spans="1:13" x14ac:dyDescent="0.35">
      <c r="A28" s="8">
        <v>44722</v>
      </c>
      <c r="B28">
        <v>2022</v>
      </c>
      <c r="C28" t="s">
        <v>31</v>
      </c>
      <c r="D28" t="s">
        <v>9</v>
      </c>
      <c r="E28" t="s">
        <v>14</v>
      </c>
      <c r="F28" t="s">
        <v>11</v>
      </c>
      <c r="G28" s="7">
        <v>72</v>
      </c>
      <c r="H28" s="1">
        <v>0.22</v>
      </c>
      <c r="I28" s="2">
        <v>19069</v>
      </c>
      <c r="J28" s="2">
        <v>12435</v>
      </c>
      <c r="K28" s="2">
        <v>1070915.04</v>
      </c>
      <c r="L28" s="21">
        <f t="shared" si="0"/>
        <v>0.16396729286760228</v>
      </c>
      <c r="M28" s="2">
        <v>175595.04</v>
      </c>
    </row>
    <row r="29" spans="1:13" x14ac:dyDescent="0.35">
      <c r="A29" s="8">
        <v>45021</v>
      </c>
      <c r="B29">
        <v>2023</v>
      </c>
      <c r="C29" t="s">
        <v>8</v>
      </c>
      <c r="D29" t="s">
        <v>20</v>
      </c>
      <c r="E29" t="s">
        <v>10</v>
      </c>
      <c r="F29" t="s">
        <v>11</v>
      </c>
      <c r="G29" s="7">
        <v>199</v>
      </c>
      <c r="H29" s="1">
        <v>0.12</v>
      </c>
      <c r="I29" s="2">
        <v>37580</v>
      </c>
      <c r="J29" s="2">
        <v>6709</v>
      </c>
      <c r="K29" s="2">
        <v>6581009.5999999996</v>
      </c>
      <c r="L29" s="21">
        <f t="shared" si="0"/>
        <v>0.79712975954327736</v>
      </c>
      <c r="M29" s="2">
        <v>5245918.5999999996</v>
      </c>
    </row>
    <row r="30" spans="1:13" x14ac:dyDescent="0.35">
      <c r="A30" s="8">
        <v>44875</v>
      </c>
      <c r="B30">
        <v>2022</v>
      </c>
      <c r="C30" t="s">
        <v>26</v>
      </c>
      <c r="D30" t="s">
        <v>20</v>
      </c>
      <c r="E30" t="s">
        <v>22</v>
      </c>
      <c r="F30" t="s">
        <v>18</v>
      </c>
      <c r="G30" s="7">
        <v>134</v>
      </c>
      <c r="H30" s="1">
        <v>0.22</v>
      </c>
      <c r="I30" s="2">
        <v>36843</v>
      </c>
      <c r="J30" s="2">
        <v>33355</v>
      </c>
      <c r="K30" s="2">
        <v>3850830.36</v>
      </c>
      <c r="L30" s="21">
        <f t="shared" si="0"/>
        <v>-0.16067694033657709</v>
      </c>
      <c r="M30" s="2">
        <v>-618739.63999999966</v>
      </c>
    </row>
    <row r="31" spans="1:13" x14ac:dyDescent="0.35">
      <c r="A31" s="8">
        <v>44583</v>
      </c>
      <c r="B31">
        <v>2022</v>
      </c>
      <c r="C31" t="s">
        <v>21</v>
      </c>
      <c r="D31" t="s">
        <v>27</v>
      </c>
      <c r="E31" t="s">
        <v>17</v>
      </c>
      <c r="F31" t="s">
        <v>11</v>
      </c>
      <c r="G31" s="7">
        <v>159</v>
      </c>
      <c r="H31" s="1">
        <v>0.24</v>
      </c>
      <c r="I31" s="2">
        <v>7849</v>
      </c>
      <c r="J31" s="2">
        <v>16116</v>
      </c>
      <c r="K31" s="2">
        <v>948473.16</v>
      </c>
      <c r="L31" s="21">
        <f t="shared" si="0"/>
        <v>-1.701651568084436</v>
      </c>
      <c r="M31" s="2">
        <v>-1613970.84</v>
      </c>
    </row>
    <row r="32" spans="1:13" x14ac:dyDescent="0.35">
      <c r="A32" s="8">
        <v>44814</v>
      </c>
      <c r="B32">
        <v>2022</v>
      </c>
      <c r="C32" t="s">
        <v>16</v>
      </c>
      <c r="D32" t="s">
        <v>9</v>
      </c>
      <c r="E32" t="s">
        <v>24</v>
      </c>
      <c r="F32" t="s">
        <v>18</v>
      </c>
      <c r="G32" s="7">
        <v>67</v>
      </c>
      <c r="H32" s="1">
        <v>0.02</v>
      </c>
      <c r="I32" s="2">
        <v>65595</v>
      </c>
      <c r="J32" s="2">
        <v>28470</v>
      </c>
      <c r="K32" s="2">
        <v>4306967.7</v>
      </c>
      <c r="L32" s="21">
        <f t="shared" si="0"/>
        <v>0.55711532268978936</v>
      </c>
      <c r="M32" s="2">
        <v>2399477.7000000002</v>
      </c>
    </row>
    <row r="33" spans="1:13" x14ac:dyDescent="0.35">
      <c r="A33" s="8">
        <v>45122</v>
      </c>
      <c r="B33">
        <v>2023</v>
      </c>
      <c r="C33" t="s">
        <v>30</v>
      </c>
      <c r="D33" t="s">
        <v>13</v>
      </c>
      <c r="E33" t="s">
        <v>17</v>
      </c>
      <c r="F33" t="s">
        <v>18</v>
      </c>
      <c r="G33" s="7">
        <v>67</v>
      </c>
      <c r="H33" s="1">
        <v>0.08</v>
      </c>
      <c r="I33" s="2">
        <v>45158</v>
      </c>
      <c r="J33" s="2">
        <v>17683</v>
      </c>
      <c r="K33" s="2">
        <v>2783539.12</v>
      </c>
      <c r="L33" s="21">
        <f t="shared" si="0"/>
        <v>0.57436883444986397</v>
      </c>
      <c r="M33" s="2">
        <v>1598778.12</v>
      </c>
    </row>
    <row r="34" spans="1:13" x14ac:dyDescent="0.35">
      <c r="A34" s="8">
        <v>45036</v>
      </c>
      <c r="B34">
        <v>2023</v>
      </c>
      <c r="C34" t="s">
        <v>8</v>
      </c>
      <c r="D34" t="s">
        <v>20</v>
      </c>
      <c r="E34" t="s">
        <v>17</v>
      </c>
      <c r="F34" t="s">
        <v>18</v>
      </c>
      <c r="G34" s="7">
        <v>95</v>
      </c>
      <c r="H34" s="1">
        <v>0.28999999999999998</v>
      </c>
      <c r="I34" s="2">
        <v>28289</v>
      </c>
      <c r="J34" s="2">
        <v>3504</v>
      </c>
      <c r="K34" s="2">
        <v>1908093.05</v>
      </c>
      <c r="L34" s="21">
        <f t="shared" ref="L34:L65" si="1">M34/K34</f>
        <v>0.8255430991690893</v>
      </c>
      <c r="M34" s="2">
        <v>1575213.05</v>
      </c>
    </row>
    <row r="35" spans="1:13" x14ac:dyDescent="0.35">
      <c r="A35" s="8">
        <v>44620</v>
      </c>
      <c r="B35">
        <v>2022</v>
      </c>
      <c r="C35" t="s">
        <v>29</v>
      </c>
      <c r="D35" t="s">
        <v>9</v>
      </c>
      <c r="E35" t="s">
        <v>22</v>
      </c>
      <c r="F35" t="s">
        <v>18</v>
      </c>
      <c r="G35" s="7">
        <v>58</v>
      </c>
      <c r="H35" s="1">
        <v>0.16</v>
      </c>
      <c r="I35" s="2">
        <v>49690</v>
      </c>
      <c r="J35" s="2">
        <v>36982</v>
      </c>
      <c r="K35" s="2">
        <v>2420896.7999999998</v>
      </c>
      <c r="L35" s="21">
        <f t="shared" si="1"/>
        <v>0.11398288435921755</v>
      </c>
      <c r="M35" s="2">
        <v>275940.79999999981</v>
      </c>
    </row>
    <row r="36" spans="1:13" x14ac:dyDescent="0.35">
      <c r="A36" s="8">
        <v>45072</v>
      </c>
      <c r="B36">
        <v>2023</v>
      </c>
      <c r="C36" t="s">
        <v>23</v>
      </c>
      <c r="D36" t="s">
        <v>9</v>
      </c>
      <c r="E36" t="s">
        <v>17</v>
      </c>
      <c r="F36" t="s">
        <v>18</v>
      </c>
      <c r="G36" s="7">
        <v>189</v>
      </c>
      <c r="H36" s="1">
        <v>0.16</v>
      </c>
      <c r="I36" s="2">
        <v>40257</v>
      </c>
      <c r="J36" s="2">
        <v>37299</v>
      </c>
      <c r="K36" s="2">
        <v>6391201.3199999994</v>
      </c>
      <c r="L36" s="21">
        <f t="shared" si="1"/>
        <v>-0.10300249468592873</v>
      </c>
      <c r="M36" s="2">
        <v>-658309.68000000063</v>
      </c>
    </row>
    <row r="37" spans="1:13" x14ac:dyDescent="0.35">
      <c r="A37" s="8">
        <v>45243</v>
      </c>
      <c r="B37">
        <v>2023</v>
      </c>
      <c r="C37" t="s">
        <v>26</v>
      </c>
      <c r="D37" t="s">
        <v>27</v>
      </c>
      <c r="E37" t="s">
        <v>10</v>
      </c>
      <c r="F37" t="s">
        <v>15</v>
      </c>
      <c r="G37" s="7">
        <v>179</v>
      </c>
      <c r="H37" s="1">
        <v>0.28999999999999998</v>
      </c>
      <c r="I37" s="2">
        <v>14823</v>
      </c>
      <c r="J37" s="2">
        <v>31016</v>
      </c>
      <c r="K37" s="2">
        <v>1883855.07</v>
      </c>
      <c r="L37" s="21">
        <f t="shared" si="1"/>
        <v>-1.9470759658809635</v>
      </c>
      <c r="M37" s="2">
        <v>-3668008.93</v>
      </c>
    </row>
    <row r="38" spans="1:13" x14ac:dyDescent="0.35">
      <c r="A38" s="8">
        <v>45037</v>
      </c>
      <c r="B38">
        <v>2023</v>
      </c>
      <c r="C38" t="s">
        <v>8</v>
      </c>
      <c r="D38" t="s">
        <v>20</v>
      </c>
      <c r="E38" t="s">
        <v>10</v>
      </c>
      <c r="F38" t="s">
        <v>11</v>
      </c>
      <c r="G38" s="7">
        <v>79</v>
      </c>
      <c r="H38" s="1">
        <v>0.19</v>
      </c>
      <c r="I38" s="2">
        <v>65160</v>
      </c>
      <c r="J38" s="2">
        <v>26960</v>
      </c>
      <c r="K38" s="2">
        <v>4169588.4</v>
      </c>
      <c r="L38" s="21">
        <f t="shared" si="1"/>
        <v>0.4891965835284845</v>
      </c>
      <c r="M38" s="2">
        <v>2039748.4</v>
      </c>
    </row>
    <row r="39" spans="1:13" x14ac:dyDescent="0.35">
      <c r="A39" s="8">
        <v>45261</v>
      </c>
      <c r="B39">
        <v>2023</v>
      </c>
      <c r="C39" t="s">
        <v>19</v>
      </c>
      <c r="D39" t="s">
        <v>20</v>
      </c>
      <c r="E39" t="s">
        <v>14</v>
      </c>
      <c r="F39" t="s">
        <v>18</v>
      </c>
      <c r="G39" s="7">
        <v>24</v>
      </c>
      <c r="H39" s="1">
        <v>0.15</v>
      </c>
      <c r="I39" s="2">
        <v>46975</v>
      </c>
      <c r="J39" s="2">
        <v>36591</v>
      </c>
      <c r="K39" s="2">
        <v>958290</v>
      </c>
      <c r="L39" s="21">
        <f t="shared" si="1"/>
        <v>8.3592649406755787E-2</v>
      </c>
      <c r="M39" s="2">
        <v>80106</v>
      </c>
    </row>
    <row r="40" spans="1:13" x14ac:dyDescent="0.35">
      <c r="A40" s="8">
        <v>44751</v>
      </c>
      <c r="B40">
        <v>2022</v>
      </c>
      <c r="C40" t="s">
        <v>30</v>
      </c>
      <c r="D40" t="s">
        <v>13</v>
      </c>
      <c r="E40" t="s">
        <v>24</v>
      </c>
      <c r="F40" t="s">
        <v>11</v>
      </c>
      <c r="G40" s="7">
        <v>63</v>
      </c>
      <c r="H40" s="1">
        <v>0.24</v>
      </c>
      <c r="I40" s="2">
        <v>14540</v>
      </c>
      <c r="J40" s="2">
        <v>20312</v>
      </c>
      <c r="K40" s="2">
        <v>696175.2</v>
      </c>
      <c r="L40" s="21">
        <f t="shared" si="1"/>
        <v>-0.83812350684138148</v>
      </c>
      <c r="M40" s="2">
        <v>-583480.80000000005</v>
      </c>
    </row>
    <row r="41" spans="1:13" x14ac:dyDescent="0.35">
      <c r="A41" s="8">
        <v>45248</v>
      </c>
      <c r="B41">
        <v>2023</v>
      </c>
      <c r="C41" t="s">
        <v>26</v>
      </c>
      <c r="D41" t="s">
        <v>20</v>
      </c>
      <c r="E41" t="s">
        <v>17</v>
      </c>
      <c r="F41" t="s">
        <v>11</v>
      </c>
      <c r="G41" s="7">
        <v>197</v>
      </c>
      <c r="H41" s="1">
        <v>0.21</v>
      </c>
      <c r="I41" s="2">
        <v>21364</v>
      </c>
      <c r="J41" s="2">
        <v>5105</v>
      </c>
      <c r="K41" s="2">
        <v>3324879.32</v>
      </c>
      <c r="L41" s="21">
        <f t="shared" si="1"/>
        <v>0.6975273677000704</v>
      </c>
      <c r="M41" s="2">
        <v>2319194.3199999998</v>
      </c>
    </row>
    <row r="42" spans="1:13" x14ac:dyDescent="0.35">
      <c r="A42" s="8">
        <v>45124</v>
      </c>
      <c r="B42">
        <v>2023</v>
      </c>
      <c r="C42" t="s">
        <v>30</v>
      </c>
      <c r="D42" t="s">
        <v>13</v>
      </c>
      <c r="E42" t="s">
        <v>17</v>
      </c>
      <c r="F42" t="s">
        <v>18</v>
      </c>
      <c r="G42" s="7">
        <v>110</v>
      </c>
      <c r="H42" s="1">
        <v>0.12</v>
      </c>
      <c r="I42" s="2">
        <v>9611</v>
      </c>
      <c r="J42" s="2">
        <v>39395</v>
      </c>
      <c r="K42" s="2">
        <v>930344.8</v>
      </c>
      <c r="L42" s="21">
        <f t="shared" si="1"/>
        <v>-3.6578967281807779</v>
      </c>
      <c r="M42" s="2">
        <v>-3403105.2</v>
      </c>
    </row>
    <row r="43" spans="1:13" x14ac:dyDescent="0.35">
      <c r="A43" s="8">
        <v>45128</v>
      </c>
      <c r="B43">
        <v>2023</v>
      </c>
      <c r="C43" t="s">
        <v>30</v>
      </c>
      <c r="D43" t="s">
        <v>20</v>
      </c>
      <c r="E43" t="s">
        <v>22</v>
      </c>
      <c r="F43" t="s">
        <v>15</v>
      </c>
      <c r="G43" s="7">
        <v>17</v>
      </c>
      <c r="H43" s="1">
        <v>0.26</v>
      </c>
      <c r="I43" s="2">
        <v>32663</v>
      </c>
      <c r="J43" s="2">
        <v>25700</v>
      </c>
      <c r="K43" s="2">
        <v>410900.54</v>
      </c>
      <c r="L43" s="21">
        <f t="shared" si="1"/>
        <v>-6.3274338846086756E-2</v>
      </c>
      <c r="M43" s="2">
        <v>-25999.460000000021</v>
      </c>
    </row>
    <row r="44" spans="1:13" x14ac:dyDescent="0.35">
      <c r="A44" s="8">
        <v>44805</v>
      </c>
      <c r="B44">
        <v>2022</v>
      </c>
      <c r="C44" t="s">
        <v>16</v>
      </c>
      <c r="D44" t="s">
        <v>27</v>
      </c>
      <c r="E44" t="s">
        <v>10</v>
      </c>
      <c r="F44" t="s">
        <v>18</v>
      </c>
      <c r="G44" s="7">
        <v>62</v>
      </c>
      <c r="H44" s="1">
        <v>0.18</v>
      </c>
      <c r="I44" s="2">
        <v>56991</v>
      </c>
      <c r="J44" s="2">
        <v>37620</v>
      </c>
      <c r="K44" s="2">
        <v>2897422.44</v>
      </c>
      <c r="L44" s="21">
        <f t="shared" si="1"/>
        <v>0.19499484514242957</v>
      </c>
      <c r="M44" s="2">
        <v>564982.44000000041</v>
      </c>
    </row>
    <row r="45" spans="1:13" x14ac:dyDescent="0.35">
      <c r="A45" s="8">
        <v>45066</v>
      </c>
      <c r="B45">
        <v>2023</v>
      </c>
      <c r="C45" t="s">
        <v>23</v>
      </c>
      <c r="D45" t="s">
        <v>20</v>
      </c>
      <c r="E45" t="s">
        <v>24</v>
      </c>
      <c r="F45" t="s">
        <v>15</v>
      </c>
      <c r="G45" s="7">
        <v>69</v>
      </c>
      <c r="H45" s="1">
        <v>0.16</v>
      </c>
      <c r="I45" s="2">
        <v>62679</v>
      </c>
      <c r="J45" s="2">
        <v>23559</v>
      </c>
      <c r="K45" s="2">
        <v>3632874.84</v>
      </c>
      <c r="L45" s="21">
        <f t="shared" si="1"/>
        <v>0.55253867210024776</v>
      </c>
      <c r="M45" s="2">
        <v>2007303.84</v>
      </c>
    </row>
    <row r="46" spans="1:13" x14ac:dyDescent="0.35">
      <c r="A46" s="8">
        <v>44692</v>
      </c>
      <c r="B46">
        <v>2022</v>
      </c>
      <c r="C46" t="s">
        <v>23</v>
      </c>
      <c r="D46" t="s">
        <v>13</v>
      </c>
      <c r="E46" t="s">
        <v>14</v>
      </c>
      <c r="F46" t="s">
        <v>11</v>
      </c>
      <c r="G46" s="7">
        <v>117</v>
      </c>
      <c r="H46" s="1">
        <v>0.03</v>
      </c>
      <c r="I46" s="2">
        <v>43646</v>
      </c>
      <c r="J46" s="2">
        <v>30509</v>
      </c>
      <c r="K46" s="2">
        <v>4953384.54</v>
      </c>
      <c r="L46" s="21">
        <f t="shared" si="1"/>
        <v>0.2793709086837825</v>
      </c>
      <c r="M46" s="2">
        <v>1383831.54</v>
      </c>
    </row>
    <row r="47" spans="1:13" x14ac:dyDescent="0.35">
      <c r="A47" s="8">
        <v>45046</v>
      </c>
      <c r="B47">
        <v>2023</v>
      </c>
      <c r="C47" t="s">
        <v>8</v>
      </c>
      <c r="D47" t="s">
        <v>13</v>
      </c>
      <c r="E47" t="s">
        <v>10</v>
      </c>
      <c r="F47" t="s">
        <v>15</v>
      </c>
      <c r="G47" s="7">
        <v>14</v>
      </c>
      <c r="H47" s="1">
        <v>0.11</v>
      </c>
      <c r="I47" s="2">
        <v>35977</v>
      </c>
      <c r="J47" s="2">
        <v>30860</v>
      </c>
      <c r="K47" s="2">
        <v>448273.42</v>
      </c>
      <c r="L47" s="21">
        <f t="shared" si="1"/>
        <v>3.6213211124585483E-2</v>
      </c>
      <c r="M47" s="2">
        <v>16233.41999999998</v>
      </c>
    </row>
    <row r="48" spans="1:13" x14ac:dyDescent="0.35">
      <c r="A48" s="8">
        <v>45208</v>
      </c>
      <c r="B48">
        <v>2023</v>
      </c>
      <c r="C48" t="s">
        <v>28</v>
      </c>
      <c r="D48" t="s">
        <v>27</v>
      </c>
      <c r="E48" t="s">
        <v>14</v>
      </c>
      <c r="F48" t="s">
        <v>15</v>
      </c>
      <c r="G48" s="7">
        <v>112</v>
      </c>
      <c r="H48" s="1">
        <v>0.28000000000000003</v>
      </c>
      <c r="I48" s="2">
        <v>34168</v>
      </c>
      <c r="J48" s="2">
        <v>14003</v>
      </c>
      <c r="K48" s="2">
        <v>2755307.52</v>
      </c>
      <c r="L48" s="21">
        <f t="shared" si="1"/>
        <v>0.43079457061838239</v>
      </c>
      <c r="M48" s="2">
        <v>1186971.52</v>
      </c>
    </row>
    <row r="49" spans="1:13" x14ac:dyDescent="0.35">
      <c r="A49" s="8">
        <v>44582</v>
      </c>
      <c r="B49">
        <v>2022</v>
      </c>
      <c r="C49" t="s">
        <v>21</v>
      </c>
      <c r="D49" t="s">
        <v>20</v>
      </c>
      <c r="E49" t="s">
        <v>22</v>
      </c>
      <c r="F49" t="s">
        <v>15</v>
      </c>
      <c r="G49" s="7">
        <v>15</v>
      </c>
      <c r="H49" s="1">
        <v>0.08</v>
      </c>
      <c r="I49" s="2">
        <v>54115</v>
      </c>
      <c r="J49" s="2">
        <v>24732</v>
      </c>
      <c r="K49" s="2">
        <v>746787</v>
      </c>
      <c r="L49" s="21">
        <f t="shared" si="1"/>
        <v>0.50323184522494369</v>
      </c>
      <c r="M49" s="2">
        <v>375807</v>
      </c>
    </row>
    <row r="50" spans="1:13" x14ac:dyDescent="0.35">
      <c r="A50" s="8">
        <v>44728</v>
      </c>
      <c r="B50">
        <v>2022</v>
      </c>
      <c r="C50" t="s">
        <v>31</v>
      </c>
      <c r="D50" t="s">
        <v>20</v>
      </c>
      <c r="E50" t="s">
        <v>22</v>
      </c>
      <c r="F50" t="s">
        <v>11</v>
      </c>
      <c r="G50" s="7">
        <v>118</v>
      </c>
      <c r="H50" s="1">
        <v>0.18</v>
      </c>
      <c r="I50" s="2">
        <v>30471</v>
      </c>
      <c r="J50" s="2">
        <v>28826</v>
      </c>
      <c r="K50" s="2">
        <v>2948373.96</v>
      </c>
      <c r="L50" s="21">
        <f t="shared" si="1"/>
        <v>-0.15367590615947496</v>
      </c>
      <c r="M50" s="2">
        <v>-453094.03999999957</v>
      </c>
    </row>
    <row r="51" spans="1:13" x14ac:dyDescent="0.35">
      <c r="A51" s="8">
        <v>44835</v>
      </c>
      <c r="B51">
        <v>2022</v>
      </c>
      <c r="C51" t="s">
        <v>28</v>
      </c>
      <c r="D51" t="s">
        <v>27</v>
      </c>
      <c r="E51" t="s">
        <v>17</v>
      </c>
      <c r="F51" t="s">
        <v>11</v>
      </c>
      <c r="G51" s="7">
        <v>125</v>
      </c>
      <c r="H51" s="1">
        <v>0.11</v>
      </c>
      <c r="I51" s="2">
        <v>27687</v>
      </c>
      <c r="J51" s="2">
        <v>33354</v>
      </c>
      <c r="K51" s="2">
        <v>3080178.75</v>
      </c>
      <c r="L51" s="21">
        <f t="shared" si="1"/>
        <v>-0.35357404176624491</v>
      </c>
      <c r="M51" s="2">
        <v>-1089071.25</v>
      </c>
    </row>
    <row r="52" spans="1:13" x14ac:dyDescent="0.35">
      <c r="A52" s="8">
        <v>44949</v>
      </c>
      <c r="B52">
        <v>2023</v>
      </c>
      <c r="C52" t="s">
        <v>21</v>
      </c>
      <c r="D52" t="s">
        <v>20</v>
      </c>
      <c r="E52" t="s">
        <v>24</v>
      </c>
      <c r="F52" t="s">
        <v>15</v>
      </c>
      <c r="G52" s="7">
        <v>103</v>
      </c>
      <c r="H52" s="1">
        <v>0.08</v>
      </c>
      <c r="I52" s="2">
        <v>65890</v>
      </c>
      <c r="J52" s="2">
        <v>16843</v>
      </c>
      <c r="K52" s="2">
        <v>6243736.4000000004</v>
      </c>
      <c r="L52" s="21">
        <f t="shared" si="1"/>
        <v>0.72214890430031609</v>
      </c>
      <c r="M52" s="2">
        <v>4508907.4000000004</v>
      </c>
    </row>
    <row r="53" spans="1:13" x14ac:dyDescent="0.35">
      <c r="A53" s="8">
        <v>45162</v>
      </c>
      <c r="B53">
        <v>2023</v>
      </c>
      <c r="C53" t="s">
        <v>25</v>
      </c>
      <c r="D53" t="s">
        <v>20</v>
      </c>
      <c r="E53" t="s">
        <v>14</v>
      </c>
      <c r="F53" t="s">
        <v>15</v>
      </c>
      <c r="G53" s="7">
        <v>56</v>
      </c>
      <c r="H53" s="1">
        <v>0.06</v>
      </c>
      <c r="I53" s="2">
        <v>5851</v>
      </c>
      <c r="J53" s="2">
        <v>9190</v>
      </c>
      <c r="K53" s="2">
        <v>307996.64</v>
      </c>
      <c r="L53" s="21">
        <f t="shared" si="1"/>
        <v>-0.67092731920711857</v>
      </c>
      <c r="M53" s="2">
        <v>-206643.36</v>
      </c>
    </row>
    <row r="54" spans="1:13" x14ac:dyDescent="0.35">
      <c r="A54" s="8">
        <v>44877</v>
      </c>
      <c r="B54">
        <v>2022</v>
      </c>
      <c r="C54" t="s">
        <v>26</v>
      </c>
      <c r="D54" t="s">
        <v>13</v>
      </c>
      <c r="E54" t="s">
        <v>10</v>
      </c>
      <c r="F54" t="s">
        <v>18</v>
      </c>
      <c r="G54" s="7">
        <v>108</v>
      </c>
      <c r="H54" s="1">
        <v>0.27</v>
      </c>
      <c r="I54" s="2">
        <v>23071</v>
      </c>
      <c r="J54" s="2">
        <v>20640</v>
      </c>
      <c r="K54" s="2">
        <v>1818917.64</v>
      </c>
      <c r="L54" s="21">
        <f t="shared" si="1"/>
        <v>-0.22552002959298373</v>
      </c>
      <c r="M54" s="2">
        <v>-410202.3600000001</v>
      </c>
    </row>
    <row r="55" spans="1:13" x14ac:dyDescent="0.35">
      <c r="A55" s="8">
        <v>44575</v>
      </c>
      <c r="B55">
        <v>2022</v>
      </c>
      <c r="C55" t="s">
        <v>21</v>
      </c>
      <c r="D55" t="s">
        <v>20</v>
      </c>
      <c r="E55" t="s">
        <v>22</v>
      </c>
      <c r="F55" t="s">
        <v>15</v>
      </c>
      <c r="G55" s="7">
        <v>64</v>
      </c>
      <c r="H55" s="1">
        <v>0.13</v>
      </c>
      <c r="I55" s="2">
        <v>64275</v>
      </c>
      <c r="J55" s="2">
        <v>6330</v>
      </c>
      <c r="K55" s="2">
        <v>3578832</v>
      </c>
      <c r="L55" s="21">
        <f t="shared" si="1"/>
        <v>0.88680105688112765</v>
      </c>
      <c r="M55" s="2">
        <v>3173712</v>
      </c>
    </row>
    <row r="56" spans="1:13" x14ac:dyDescent="0.35">
      <c r="A56" s="8">
        <v>44803</v>
      </c>
      <c r="B56">
        <v>2022</v>
      </c>
      <c r="C56" t="s">
        <v>25</v>
      </c>
      <c r="D56" t="s">
        <v>20</v>
      </c>
      <c r="E56" t="s">
        <v>17</v>
      </c>
      <c r="F56" t="s">
        <v>18</v>
      </c>
      <c r="G56" s="7">
        <v>177</v>
      </c>
      <c r="H56" s="1">
        <v>0.19</v>
      </c>
      <c r="I56" s="2">
        <v>11833</v>
      </c>
      <c r="J56" s="2">
        <v>22087</v>
      </c>
      <c r="K56" s="2">
        <v>1696497.21</v>
      </c>
      <c r="L56" s="21">
        <f t="shared" si="1"/>
        <v>-1.3043945943182542</v>
      </c>
      <c r="M56" s="2">
        <v>-2212901.79</v>
      </c>
    </row>
    <row r="57" spans="1:13" x14ac:dyDescent="0.35">
      <c r="A57" s="8">
        <v>44907</v>
      </c>
      <c r="B57">
        <v>2022</v>
      </c>
      <c r="C57" t="s">
        <v>19</v>
      </c>
      <c r="D57" t="s">
        <v>27</v>
      </c>
      <c r="E57" t="s">
        <v>17</v>
      </c>
      <c r="F57" t="s">
        <v>15</v>
      </c>
      <c r="G57" s="7">
        <v>61</v>
      </c>
      <c r="H57" s="1">
        <v>0.18</v>
      </c>
      <c r="I57" s="2">
        <v>16938</v>
      </c>
      <c r="J57" s="2">
        <v>27504</v>
      </c>
      <c r="K57" s="2">
        <v>847238.76</v>
      </c>
      <c r="L57" s="21">
        <f t="shared" si="1"/>
        <v>-0.98024934553277521</v>
      </c>
      <c r="M57" s="2">
        <v>-830505.24</v>
      </c>
    </row>
    <row r="58" spans="1:13" x14ac:dyDescent="0.35">
      <c r="A58" s="8">
        <v>45126</v>
      </c>
      <c r="B58">
        <v>2023</v>
      </c>
      <c r="C58" t="s">
        <v>30</v>
      </c>
      <c r="D58" t="s">
        <v>27</v>
      </c>
      <c r="E58" t="s">
        <v>14</v>
      </c>
      <c r="F58" t="s">
        <v>18</v>
      </c>
      <c r="G58" s="7">
        <v>153</v>
      </c>
      <c r="H58" s="1">
        <v>0.25</v>
      </c>
      <c r="I58" s="2">
        <v>40195</v>
      </c>
      <c r="J58" s="2">
        <v>10114</v>
      </c>
      <c r="K58" s="2">
        <v>4612376.25</v>
      </c>
      <c r="L58" s="21">
        <f t="shared" si="1"/>
        <v>0.66450221835219969</v>
      </c>
      <c r="M58" s="2">
        <v>3064934.25</v>
      </c>
    </row>
    <row r="59" spans="1:13" x14ac:dyDescent="0.35">
      <c r="A59" s="8">
        <v>44901</v>
      </c>
      <c r="B59">
        <v>2022</v>
      </c>
      <c r="C59" t="s">
        <v>19</v>
      </c>
      <c r="D59" t="s">
        <v>9</v>
      </c>
      <c r="E59" t="s">
        <v>22</v>
      </c>
      <c r="F59" t="s">
        <v>11</v>
      </c>
      <c r="G59" s="7">
        <v>22</v>
      </c>
      <c r="H59" s="1">
        <v>0.14000000000000001</v>
      </c>
      <c r="I59" s="2">
        <v>31144</v>
      </c>
      <c r="J59" s="2">
        <v>16323</v>
      </c>
      <c r="K59" s="2">
        <v>589244.48</v>
      </c>
      <c r="L59" s="21">
        <f t="shared" si="1"/>
        <v>0.39056535582649837</v>
      </c>
      <c r="M59" s="2">
        <v>230138.48</v>
      </c>
    </row>
    <row r="60" spans="1:13" x14ac:dyDescent="0.35">
      <c r="A60" s="8">
        <v>44653</v>
      </c>
      <c r="B60">
        <v>2022</v>
      </c>
      <c r="C60" t="s">
        <v>8</v>
      </c>
      <c r="D60" t="s">
        <v>13</v>
      </c>
      <c r="E60" t="s">
        <v>24</v>
      </c>
      <c r="F60" t="s">
        <v>15</v>
      </c>
      <c r="G60" s="7">
        <v>123</v>
      </c>
      <c r="H60" s="1">
        <v>0.15</v>
      </c>
      <c r="I60" s="2">
        <v>9000</v>
      </c>
      <c r="J60" s="2">
        <v>37121</v>
      </c>
      <c r="K60" s="2">
        <v>940950</v>
      </c>
      <c r="L60" s="21">
        <f t="shared" si="1"/>
        <v>-3.8524183006535946</v>
      </c>
      <c r="M60" s="2">
        <v>-3624933</v>
      </c>
    </row>
    <row r="61" spans="1:13" x14ac:dyDescent="0.35">
      <c r="A61" s="8">
        <v>44928</v>
      </c>
      <c r="B61">
        <v>2023</v>
      </c>
      <c r="C61" t="s">
        <v>21</v>
      </c>
      <c r="D61" t="s">
        <v>20</v>
      </c>
      <c r="E61" t="s">
        <v>22</v>
      </c>
      <c r="F61" t="s">
        <v>15</v>
      </c>
      <c r="G61" s="7">
        <v>133</v>
      </c>
      <c r="H61" s="1">
        <v>0.2</v>
      </c>
      <c r="I61" s="2">
        <v>10052</v>
      </c>
      <c r="J61" s="2">
        <v>13975</v>
      </c>
      <c r="K61" s="2">
        <v>1069532.8</v>
      </c>
      <c r="L61" s="21">
        <f t="shared" si="1"/>
        <v>-0.73783824114604046</v>
      </c>
      <c r="M61" s="2">
        <v>-789142.2</v>
      </c>
    </row>
    <row r="62" spans="1:13" x14ac:dyDescent="0.35">
      <c r="A62" s="8">
        <v>45016</v>
      </c>
      <c r="B62">
        <v>2023</v>
      </c>
      <c r="C62" t="s">
        <v>12</v>
      </c>
      <c r="D62" t="s">
        <v>20</v>
      </c>
      <c r="E62" t="s">
        <v>14</v>
      </c>
      <c r="F62" t="s">
        <v>15</v>
      </c>
      <c r="G62" s="7">
        <v>115</v>
      </c>
      <c r="H62" s="1">
        <v>0.04</v>
      </c>
      <c r="I62" s="2">
        <v>40506</v>
      </c>
      <c r="J62" s="2">
        <v>14023</v>
      </c>
      <c r="K62" s="2">
        <v>4471862.3999999994</v>
      </c>
      <c r="L62" s="21">
        <f t="shared" si="1"/>
        <v>0.63937955693806658</v>
      </c>
      <c r="M62" s="2">
        <v>2859217.399999999</v>
      </c>
    </row>
    <row r="63" spans="1:13" x14ac:dyDescent="0.35">
      <c r="A63" s="8">
        <v>44989</v>
      </c>
      <c r="B63">
        <v>2023</v>
      </c>
      <c r="C63" t="s">
        <v>12</v>
      </c>
      <c r="D63" t="s">
        <v>9</v>
      </c>
      <c r="E63" t="s">
        <v>14</v>
      </c>
      <c r="F63" t="s">
        <v>15</v>
      </c>
      <c r="G63" s="7">
        <v>167</v>
      </c>
      <c r="H63" s="1">
        <v>0.02</v>
      </c>
      <c r="I63" s="2">
        <v>33074</v>
      </c>
      <c r="J63" s="2">
        <v>24447</v>
      </c>
      <c r="K63" s="2">
        <v>5412890.8399999999</v>
      </c>
      <c r="L63" s="21">
        <f t="shared" si="1"/>
        <v>0.24575441835438899</v>
      </c>
      <c r="M63" s="2">
        <v>1330241.8400000001</v>
      </c>
    </row>
    <row r="64" spans="1:13" x14ac:dyDescent="0.35">
      <c r="A64" s="8">
        <v>45070</v>
      </c>
      <c r="B64">
        <v>2023</v>
      </c>
      <c r="C64" t="s">
        <v>23</v>
      </c>
      <c r="D64" t="s">
        <v>20</v>
      </c>
      <c r="E64" t="s">
        <v>22</v>
      </c>
      <c r="F64" t="s">
        <v>18</v>
      </c>
      <c r="G64" s="7">
        <v>156</v>
      </c>
      <c r="H64" s="1">
        <v>0.11</v>
      </c>
      <c r="I64" s="2">
        <v>59884</v>
      </c>
      <c r="J64" s="2">
        <v>27933</v>
      </c>
      <c r="K64" s="2">
        <v>8314294.5600000015</v>
      </c>
      <c r="L64" s="21">
        <f t="shared" si="1"/>
        <v>0.47589684626232442</v>
      </c>
      <c r="M64" s="2">
        <v>3956746.560000001</v>
      </c>
    </row>
    <row r="65" spans="1:13" x14ac:dyDescent="0.35">
      <c r="A65" s="8">
        <v>44596</v>
      </c>
      <c r="B65">
        <v>2022</v>
      </c>
      <c r="C65" t="s">
        <v>29</v>
      </c>
      <c r="D65" t="s">
        <v>13</v>
      </c>
      <c r="E65" t="s">
        <v>14</v>
      </c>
      <c r="F65" t="s">
        <v>15</v>
      </c>
      <c r="G65" s="7">
        <v>154</v>
      </c>
      <c r="H65" s="1">
        <v>0.24</v>
      </c>
      <c r="I65" s="2">
        <v>43155</v>
      </c>
      <c r="J65" s="2">
        <v>26959</v>
      </c>
      <c r="K65" s="2">
        <v>5050861.2</v>
      </c>
      <c r="L65" s="21">
        <f t="shared" si="1"/>
        <v>0.17802413576520379</v>
      </c>
      <c r="M65" s="2">
        <v>899175.20000000019</v>
      </c>
    </row>
    <row r="66" spans="1:13" x14ac:dyDescent="0.35">
      <c r="A66" s="8">
        <v>44767</v>
      </c>
      <c r="B66">
        <v>2022</v>
      </c>
      <c r="C66" t="s">
        <v>30</v>
      </c>
      <c r="D66" t="s">
        <v>9</v>
      </c>
      <c r="E66" t="s">
        <v>22</v>
      </c>
      <c r="F66" t="s">
        <v>11</v>
      </c>
      <c r="G66" s="7">
        <v>129</v>
      </c>
      <c r="H66" s="1">
        <v>0.19</v>
      </c>
      <c r="I66" s="2">
        <v>45770</v>
      </c>
      <c r="J66" s="2">
        <v>3667</v>
      </c>
      <c r="K66" s="2">
        <v>4782507.3000000007</v>
      </c>
      <c r="L66" s="21">
        <f t="shared" ref="L66:L97" si="2">M66/K66</f>
        <v>0.90108891208592612</v>
      </c>
      <c r="M66" s="2">
        <v>4309464.3000000007</v>
      </c>
    </row>
    <row r="67" spans="1:13" x14ac:dyDescent="0.35">
      <c r="A67" s="8">
        <v>44642</v>
      </c>
      <c r="B67">
        <v>2022</v>
      </c>
      <c r="C67" t="s">
        <v>12</v>
      </c>
      <c r="D67" t="s">
        <v>13</v>
      </c>
      <c r="E67" t="s">
        <v>10</v>
      </c>
      <c r="F67" t="s">
        <v>11</v>
      </c>
      <c r="G67" s="7">
        <v>72</v>
      </c>
      <c r="H67" s="1">
        <v>0.26</v>
      </c>
      <c r="I67" s="2">
        <v>37320</v>
      </c>
      <c r="J67" s="2">
        <v>32703</v>
      </c>
      <c r="K67" s="2">
        <v>1988409.6</v>
      </c>
      <c r="L67" s="21">
        <f t="shared" si="2"/>
        <v>-0.18417050491005479</v>
      </c>
      <c r="M67" s="2">
        <v>-366206.40000000008</v>
      </c>
    </row>
    <row r="68" spans="1:13" x14ac:dyDescent="0.35">
      <c r="A68" s="8">
        <v>45123</v>
      </c>
      <c r="B68">
        <v>2023</v>
      </c>
      <c r="C68" t="s">
        <v>30</v>
      </c>
      <c r="D68" t="s">
        <v>9</v>
      </c>
      <c r="E68" t="s">
        <v>22</v>
      </c>
      <c r="F68" t="s">
        <v>15</v>
      </c>
      <c r="G68" s="7">
        <v>28</v>
      </c>
      <c r="H68" s="1">
        <v>0.2</v>
      </c>
      <c r="I68" s="2">
        <v>43304</v>
      </c>
      <c r="J68" s="2">
        <v>12337</v>
      </c>
      <c r="K68" s="2">
        <v>970009.60000000009</v>
      </c>
      <c r="L68" s="21">
        <f t="shared" si="2"/>
        <v>0.64388393681876965</v>
      </c>
      <c r="M68" s="2">
        <v>624573.60000000009</v>
      </c>
    </row>
    <row r="69" spans="1:13" x14ac:dyDescent="0.35">
      <c r="A69" s="8">
        <v>44949</v>
      </c>
      <c r="B69">
        <v>2023</v>
      </c>
      <c r="C69" t="s">
        <v>21</v>
      </c>
      <c r="D69" t="s">
        <v>9</v>
      </c>
      <c r="E69" t="s">
        <v>22</v>
      </c>
      <c r="F69" t="s">
        <v>11</v>
      </c>
      <c r="G69" s="7">
        <v>101</v>
      </c>
      <c r="H69" s="1">
        <v>0.03</v>
      </c>
      <c r="I69" s="2">
        <v>51247</v>
      </c>
      <c r="J69" s="2">
        <v>39487</v>
      </c>
      <c r="K69" s="2">
        <v>5020668.59</v>
      </c>
      <c r="L69" s="21">
        <f t="shared" si="2"/>
        <v>0.20564623445898467</v>
      </c>
      <c r="M69" s="2">
        <v>1032481.59</v>
      </c>
    </row>
    <row r="70" spans="1:13" x14ac:dyDescent="0.35">
      <c r="A70" s="8">
        <v>44563</v>
      </c>
      <c r="B70">
        <v>2022</v>
      </c>
      <c r="C70" t="s">
        <v>21</v>
      </c>
      <c r="D70" t="s">
        <v>27</v>
      </c>
      <c r="E70" t="s">
        <v>14</v>
      </c>
      <c r="F70" t="s">
        <v>15</v>
      </c>
      <c r="G70" s="7">
        <v>67</v>
      </c>
      <c r="H70" s="1">
        <v>0.2</v>
      </c>
      <c r="I70" s="2">
        <v>8913</v>
      </c>
      <c r="J70" s="2">
        <v>22129</v>
      </c>
      <c r="K70" s="2">
        <v>477736.8</v>
      </c>
      <c r="L70" s="21">
        <f t="shared" si="2"/>
        <v>-2.1034724559631996</v>
      </c>
      <c r="M70" s="2">
        <v>-1004906.2</v>
      </c>
    </row>
    <row r="71" spans="1:13" x14ac:dyDescent="0.35">
      <c r="A71" s="8">
        <v>44951</v>
      </c>
      <c r="B71">
        <v>2023</v>
      </c>
      <c r="C71" t="s">
        <v>21</v>
      </c>
      <c r="D71" t="s">
        <v>13</v>
      </c>
      <c r="E71" t="s">
        <v>14</v>
      </c>
      <c r="F71" t="s">
        <v>15</v>
      </c>
      <c r="G71" s="7">
        <v>192</v>
      </c>
      <c r="H71" s="1">
        <v>0.22</v>
      </c>
      <c r="I71" s="2">
        <v>22450</v>
      </c>
      <c r="J71" s="2">
        <v>34921</v>
      </c>
      <c r="K71" s="2">
        <v>3362112</v>
      </c>
      <c r="L71" s="21">
        <f t="shared" si="2"/>
        <v>-0.99423219690480269</v>
      </c>
      <c r="M71" s="2">
        <v>-3342720</v>
      </c>
    </row>
    <row r="72" spans="1:13" x14ac:dyDescent="0.35">
      <c r="A72" s="8">
        <v>45127</v>
      </c>
      <c r="B72">
        <v>2023</v>
      </c>
      <c r="C72" t="s">
        <v>30</v>
      </c>
      <c r="D72" t="s">
        <v>20</v>
      </c>
      <c r="E72" t="s">
        <v>17</v>
      </c>
      <c r="F72" t="s">
        <v>11</v>
      </c>
      <c r="G72" s="7">
        <v>99</v>
      </c>
      <c r="H72" s="1">
        <v>0.15</v>
      </c>
      <c r="I72" s="2">
        <v>29107</v>
      </c>
      <c r="J72" s="2">
        <v>36307</v>
      </c>
      <c r="K72" s="2">
        <v>2449354.0499999998</v>
      </c>
      <c r="L72" s="21">
        <f t="shared" si="2"/>
        <v>-0.46748609087363258</v>
      </c>
      <c r="M72" s="2">
        <v>-1145038.95</v>
      </c>
    </row>
    <row r="73" spans="1:13" x14ac:dyDescent="0.35">
      <c r="A73" s="8">
        <v>44667</v>
      </c>
      <c r="B73">
        <v>2022</v>
      </c>
      <c r="C73" t="s">
        <v>8</v>
      </c>
      <c r="D73" t="s">
        <v>20</v>
      </c>
      <c r="E73" t="s">
        <v>17</v>
      </c>
      <c r="F73" t="s">
        <v>15</v>
      </c>
      <c r="G73" s="7">
        <v>126</v>
      </c>
      <c r="H73" s="1">
        <v>0.24</v>
      </c>
      <c r="I73" s="2">
        <v>25764</v>
      </c>
      <c r="J73" s="2">
        <v>30355</v>
      </c>
      <c r="K73" s="2">
        <v>2467160.64</v>
      </c>
      <c r="L73" s="21">
        <f t="shared" si="2"/>
        <v>-0.550255762835127</v>
      </c>
      <c r="M73" s="2">
        <v>-1357569.36</v>
      </c>
    </row>
    <row r="74" spans="1:13" x14ac:dyDescent="0.35">
      <c r="A74" s="8">
        <v>45038</v>
      </c>
      <c r="B74">
        <v>2023</v>
      </c>
      <c r="C74" t="s">
        <v>8</v>
      </c>
      <c r="D74" t="s">
        <v>13</v>
      </c>
      <c r="E74" t="s">
        <v>10</v>
      </c>
      <c r="F74" t="s">
        <v>11</v>
      </c>
      <c r="G74" s="7">
        <v>71</v>
      </c>
      <c r="H74" s="1">
        <v>0.06</v>
      </c>
      <c r="I74" s="2">
        <v>48404</v>
      </c>
      <c r="J74" s="2">
        <v>7835</v>
      </c>
      <c r="K74" s="2">
        <v>3230482.96</v>
      </c>
      <c r="L74" s="21">
        <f t="shared" si="2"/>
        <v>0.82780128950130727</v>
      </c>
      <c r="M74" s="2">
        <v>2674197.96</v>
      </c>
    </row>
    <row r="75" spans="1:13" x14ac:dyDescent="0.35">
      <c r="A75" s="8">
        <v>45264</v>
      </c>
      <c r="B75">
        <v>2023</v>
      </c>
      <c r="C75" t="s">
        <v>19</v>
      </c>
      <c r="D75" t="s">
        <v>20</v>
      </c>
      <c r="E75" t="s">
        <v>17</v>
      </c>
      <c r="F75" t="s">
        <v>18</v>
      </c>
      <c r="G75" s="7">
        <v>32</v>
      </c>
      <c r="H75" s="1">
        <v>0.12</v>
      </c>
      <c r="I75" s="2">
        <v>25491</v>
      </c>
      <c r="J75" s="2">
        <v>23159</v>
      </c>
      <c r="K75" s="2">
        <v>717826.56000000006</v>
      </c>
      <c r="L75" s="21">
        <f t="shared" si="2"/>
        <v>-3.2405376585675431E-2</v>
      </c>
      <c r="M75" s="2">
        <v>-23261.43999999994</v>
      </c>
    </row>
    <row r="76" spans="1:13" x14ac:dyDescent="0.35">
      <c r="A76" s="8">
        <v>44963</v>
      </c>
      <c r="B76">
        <v>2023</v>
      </c>
      <c r="C76" t="s">
        <v>29</v>
      </c>
      <c r="D76" t="s">
        <v>20</v>
      </c>
      <c r="E76" t="s">
        <v>22</v>
      </c>
      <c r="F76" t="s">
        <v>15</v>
      </c>
      <c r="G76" s="7">
        <v>136</v>
      </c>
      <c r="H76" s="1">
        <v>0.2</v>
      </c>
      <c r="I76" s="2">
        <v>43494</v>
      </c>
      <c r="J76" s="2">
        <v>16216</v>
      </c>
      <c r="K76" s="2">
        <v>4732147.2</v>
      </c>
      <c r="L76" s="21">
        <f t="shared" si="2"/>
        <v>0.53395870694808478</v>
      </c>
      <c r="M76" s="2">
        <v>2526771.2000000002</v>
      </c>
    </row>
    <row r="77" spans="1:13" x14ac:dyDescent="0.35">
      <c r="A77" s="8">
        <v>45291</v>
      </c>
      <c r="B77">
        <v>2023</v>
      </c>
      <c r="C77" t="s">
        <v>19</v>
      </c>
      <c r="D77" t="s">
        <v>13</v>
      </c>
      <c r="E77" t="s">
        <v>14</v>
      </c>
      <c r="F77" t="s">
        <v>18</v>
      </c>
      <c r="G77" s="7">
        <v>146</v>
      </c>
      <c r="H77" s="1">
        <v>0.09</v>
      </c>
      <c r="I77" s="2">
        <v>8373</v>
      </c>
      <c r="J77" s="2">
        <v>38547</v>
      </c>
      <c r="K77" s="2">
        <v>1112436.78</v>
      </c>
      <c r="L77" s="21">
        <f t="shared" si="2"/>
        <v>-4.0590398494375561</v>
      </c>
      <c r="M77" s="2">
        <v>-4515425.22</v>
      </c>
    </row>
    <row r="78" spans="1:13" x14ac:dyDescent="0.35">
      <c r="A78" s="8">
        <v>45117</v>
      </c>
      <c r="B78">
        <v>2023</v>
      </c>
      <c r="C78" t="s">
        <v>30</v>
      </c>
      <c r="D78" t="s">
        <v>9</v>
      </c>
      <c r="E78" t="s">
        <v>17</v>
      </c>
      <c r="F78" t="s">
        <v>11</v>
      </c>
      <c r="G78" s="7">
        <v>149</v>
      </c>
      <c r="H78" s="1">
        <v>0.25</v>
      </c>
      <c r="I78" s="2">
        <v>17161</v>
      </c>
      <c r="J78" s="2">
        <v>34471</v>
      </c>
      <c r="K78" s="2">
        <v>1917741.75</v>
      </c>
      <c r="L78" s="21">
        <f t="shared" si="2"/>
        <v>-1.6782433036147855</v>
      </c>
      <c r="M78" s="2">
        <v>-3218437.25</v>
      </c>
    </row>
    <row r="79" spans="1:13" x14ac:dyDescent="0.35">
      <c r="A79" s="8">
        <v>44723</v>
      </c>
      <c r="B79">
        <v>2022</v>
      </c>
      <c r="C79" t="s">
        <v>31</v>
      </c>
      <c r="D79" t="s">
        <v>13</v>
      </c>
      <c r="E79" t="s">
        <v>17</v>
      </c>
      <c r="F79" t="s">
        <v>18</v>
      </c>
      <c r="G79" s="7">
        <v>138</v>
      </c>
      <c r="H79" s="1">
        <v>0.06</v>
      </c>
      <c r="I79" s="2">
        <v>36996</v>
      </c>
      <c r="J79" s="2">
        <v>20308</v>
      </c>
      <c r="K79" s="2">
        <v>4799121.12</v>
      </c>
      <c r="L79" s="21">
        <f t="shared" si="2"/>
        <v>0.41603807657182029</v>
      </c>
      <c r="M79" s="2">
        <v>1996617.12</v>
      </c>
    </row>
    <row r="80" spans="1:13" x14ac:dyDescent="0.35">
      <c r="A80" s="8">
        <v>44763</v>
      </c>
      <c r="B80">
        <v>2022</v>
      </c>
      <c r="C80" t="s">
        <v>30</v>
      </c>
      <c r="D80" t="s">
        <v>9</v>
      </c>
      <c r="E80" t="s">
        <v>10</v>
      </c>
      <c r="F80" t="s">
        <v>18</v>
      </c>
      <c r="G80" s="7">
        <v>67</v>
      </c>
      <c r="H80" s="1">
        <v>0.13</v>
      </c>
      <c r="I80" s="2">
        <v>32122</v>
      </c>
      <c r="J80" s="2">
        <v>30532</v>
      </c>
      <c r="K80" s="2">
        <v>1872391.38</v>
      </c>
      <c r="L80" s="21">
        <f t="shared" si="2"/>
        <v>-9.253013117375071E-2</v>
      </c>
      <c r="M80" s="2">
        <v>-173252.62000000011</v>
      </c>
    </row>
    <row r="81" spans="1:13" x14ac:dyDescent="0.35">
      <c r="A81" s="8">
        <v>44831</v>
      </c>
      <c r="B81">
        <v>2022</v>
      </c>
      <c r="C81" t="s">
        <v>16</v>
      </c>
      <c r="D81" t="s">
        <v>20</v>
      </c>
      <c r="E81" t="s">
        <v>10</v>
      </c>
      <c r="F81" t="s">
        <v>11</v>
      </c>
      <c r="G81" s="7">
        <v>131</v>
      </c>
      <c r="H81" s="1">
        <v>0.25</v>
      </c>
      <c r="I81" s="2">
        <v>63097</v>
      </c>
      <c r="J81" s="2">
        <v>37349</v>
      </c>
      <c r="K81" s="2">
        <v>6199280.25</v>
      </c>
      <c r="L81" s="21">
        <f t="shared" si="2"/>
        <v>0.21076015235800963</v>
      </c>
      <c r="M81" s="2">
        <v>1306561.25</v>
      </c>
    </row>
    <row r="82" spans="1:13" x14ac:dyDescent="0.35">
      <c r="A82" s="8">
        <v>44832</v>
      </c>
      <c r="B82">
        <v>2022</v>
      </c>
      <c r="C82" t="s">
        <v>16</v>
      </c>
      <c r="D82" t="s">
        <v>20</v>
      </c>
      <c r="E82" t="s">
        <v>22</v>
      </c>
      <c r="F82" t="s">
        <v>18</v>
      </c>
      <c r="G82" s="7">
        <v>10</v>
      </c>
      <c r="H82" s="1">
        <v>0.04</v>
      </c>
      <c r="I82" s="2">
        <v>39850</v>
      </c>
      <c r="J82" s="2">
        <v>8713</v>
      </c>
      <c r="K82" s="2">
        <v>382560</v>
      </c>
      <c r="L82" s="21">
        <f t="shared" si="2"/>
        <v>0.77224487662066077</v>
      </c>
      <c r="M82" s="2">
        <v>295430</v>
      </c>
    </row>
    <row r="83" spans="1:13" x14ac:dyDescent="0.35">
      <c r="A83" s="8">
        <v>45017</v>
      </c>
      <c r="B83">
        <v>2023</v>
      </c>
      <c r="C83" t="s">
        <v>8</v>
      </c>
      <c r="D83" t="s">
        <v>20</v>
      </c>
      <c r="E83" t="s">
        <v>14</v>
      </c>
      <c r="F83" t="s">
        <v>18</v>
      </c>
      <c r="G83" s="7">
        <v>43</v>
      </c>
      <c r="H83" s="1">
        <v>0.02</v>
      </c>
      <c r="I83" s="2">
        <v>32350</v>
      </c>
      <c r="J83" s="2">
        <v>7804</v>
      </c>
      <c r="K83" s="2">
        <v>1363229</v>
      </c>
      <c r="L83" s="21">
        <f t="shared" si="2"/>
        <v>0.75384033056808508</v>
      </c>
      <c r="M83" s="2">
        <v>1027657</v>
      </c>
    </row>
    <row r="84" spans="1:13" x14ac:dyDescent="0.35">
      <c r="A84" s="8">
        <v>45023</v>
      </c>
      <c r="B84">
        <v>2023</v>
      </c>
      <c r="C84" t="s">
        <v>8</v>
      </c>
      <c r="D84" t="s">
        <v>27</v>
      </c>
      <c r="E84" t="s">
        <v>10</v>
      </c>
      <c r="F84" t="s">
        <v>11</v>
      </c>
      <c r="G84" s="7">
        <v>105</v>
      </c>
      <c r="H84" s="1">
        <v>0.22</v>
      </c>
      <c r="I84" s="2">
        <v>32472</v>
      </c>
      <c r="J84" s="2">
        <v>13136</v>
      </c>
      <c r="K84" s="2">
        <v>2659456.7999999998</v>
      </c>
      <c r="L84" s="21">
        <f t="shared" si="2"/>
        <v>0.48136777405070091</v>
      </c>
      <c r="M84" s="2">
        <v>1280176.8</v>
      </c>
    </row>
    <row r="85" spans="1:13" x14ac:dyDescent="0.35">
      <c r="A85" s="8">
        <v>45288</v>
      </c>
      <c r="B85">
        <v>2023</v>
      </c>
      <c r="C85" t="s">
        <v>19</v>
      </c>
      <c r="D85" t="s">
        <v>9</v>
      </c>
      <c r="E85" t="s">
        <v>17</v>
      </c>
      <c r="F85" t="s">
        <v>18</v>
      </c>
      <c r="G85" s="7">
        <v>135</v>
      </c>
      <c r="H85" s="1">
        <v>0.28000000000000003</v>
      </c>
      <c r="I85" s="2">
        <v>33761</v>
      </c>
      <c r="J85" s="2">
        <v>3009</v>
      </c>
      <c r="K85" s="2">
        <v>3281569.2</v>
      </c>
      <c r="L85" s="21">
        <f t="shared" si="2"/>
        <v>0.87621318483852173</v>
      </c>
      <c r="M85" s="2">
        <v>2875354.2</v>
      </c>
    </row>
    <row r="86" spans="1:13" x14ac:dyDescent="0.35">
      <c r="A86" s="8">
        <v>44813</v>
      </c>
      <c r="B86">
        <v>2022</v>
      </c>
      <c r="C86" t="s">
        <v>16</v>
      </c>
      <c r="D86" t="s">
        <v>27</v>
      </c>
      <c r="E86" t="s">
        <v>14</v>
      </c>
      <c r="F86" t="s">
        <v>11</v>
      </c>
      <c r="G86" s="7">
        <v>127</v>
      </c>
      <c r="H86" s="1">
        <v>0.1</v>
      </c>
      <c r="I86" s="2">
        <v>30351</v>
      </c>
      <c r="J86" s="2">
        <v>22255</v>
      </c>
      <c r="K86" s="2">
        <v>3469119.3</v>
      </c>
      <c r="L86" s="21">
        <f t="shared" si="2"/>
        <v>0.18527304610135498</v>
      </c>
      <c r="M86" s="2">
        <v>642734.30000000028</v>
      </c>
    </row>
    <row r="87" spans="1:13" x14ac:dyDescent="0.35">
      <c r="A87" s="8">
        <v>45263</v>
      </c>
      <c r="B87">
        <v>2023</v>
      </c>
      <c r="C87" t="s">
        <v>19</v>
      </c>
      <c r="D87" t="s">
        <v>27</v>
      </c>
      <c r="E87" t="s">
        <v>14</v>
      </c>
      <c r="F87" t="s">
        <v>18</v>
      </c>
      <c r="G87" s="7">
        <v>57</v>
      </c>
      <c r="H87" s="1">
        <v>0.1</v>
      </c>
      <c r="I87" s="2">
        <v>28132</v>
      </c>
      <c r="J87" s="2">
        <v>26793</v>
      </c>
      <c r="K87" s="2">
        <v>1443171.6</v>
      </c>
      <c r="L87" s="21">
        <f t="shared" si="2"/>
        <v>-5.8225508317929692E-2</v>
      </c>
      <c r="M87" s="2">
        <v>-84029.399999999907</v>
      </c>
    </row>
    <row r="88" spans="1:13" x14ac:dyDescent="0.35">
      <c r="A88" s="8">
        <v>44857</v>
      </c>
      <c r="B88">
        <v>2022</v>
      </c>
      <c r="C88" t="s">
        <v>28</v>
      </c>
      <c r="D88" t="s">
        <v>13</v>
      </c>
      <c r="E88" t="s">
        <v>17</v>
      </c>
      <c r="F88" t="s">
        <v>11</v>
      </c>
      <c r="G88" s="7">
        <v>98</v>
      </c>
      <c r="H88" s="1">
        <v>0.17</v>
      </c>
      <c r="I88" s="2">
        <v>54049</v>
      </c>
      <c r="J88" s="2">
        <v>32548</v>
      </c>
      <c r="K88" s="2">
        <v>4396345.66</v>
      </c>
      <c r="L88" s="21">
        <f t="shared" si="2"/>
        <v>0.27446469256923711</v>
      </c>
      <c r="M88" s="2">
        <v>1206641.6599999999</v>
      </c>
    </row>
    <row r="89" spans="1:13" x14ac:dyDescent="0.35">
      <c r="A89" s="8">
        <v>45286</v>
      </c>
      <c r="B89">
        <v>2023</v>
      </c>
      <c r="C89" t="s">
        <v>19</v>
      </c>
      <c r="D89" t="s">
        <v>27</v>
      </c>
      <c r="E89" t="s">
        <v>10</v>
      </c>
      <c r="F89" t="s">
        <v>11</v>
      </c>
      <c r="G89" s="7">
        <v>126</v>
      </c>
      <c r="H89" s="1">
        <v>0.14000000000000001</v>
      </c>
      <c r="I89" s="2">
        <v>20305</v>
      </c>
      <c r="J89" s="2">
        <v>4015</v>
      </c>
      <c r="K89" s="2">
        <v>2200249.7999999998</v>
      </c>
      <c r="L89" s="21">
        <f t="shared" si="2"/>
        <v>0.7700761068129629</v>
      </c>
      <c r="M89" s="2">
        <v>1694359.8</v>
      </c>
    </row>
    <row r="90" spans="1:13" x14ac:dyDescent="0.35">
      <c r="A90" s="8">
        <v>45281</v>
      </c>
      <c r="B90">
        <v>2023</v>
      </c>
      <c r="C90" t="s">
        <v>19</v>
      </c>
      <c r="D90" t="s">
        <v>13</v>
      </c>
      <c r="E90" t="s">
        <v>17</v>
      </c>
      <c r="F90" t="s">
        <v>18</v>
      </c>
      <c r="G90" s="7">
        <v>138</v>
      </c>
      <c r="H90" s="1">
        <v>0.11</v>
      </c>
      <c r="I90" s="2">
        <v>14817</v>
      </c>
      <c r="J90" s="2">
        <v>30712</v>
      </c>
      <c r="K90" s="2">
        <v>1819823.94</v>
      </c>
      <c r="L90" s="21">
        <f t="shared" si="2"/>
        <v>-1.3289373806127642</v>
      </c>
      <c r="M90" s="2">
        <v>-2418432.06</v>
      </c>
    </row>
    <row r="91" spans="1:13" x14ac:dyDescent="0.35">
      <c r="A91" s="8">
        <v>44899</v>
      </c>
      <c r="B91">
        <v>2022</v>
      </c>
      <c r="C91" t="s">
        <v>19</v>
      </c>
      <c r="D91" t="s">
        <v>13</v>
      </c>
      <c r="E91" t="s">
        <v>14</v>
      </c>
      <c r="F91" t="s">
        <v>18</v>
      </c>
      <c r="G91" s="7">
        <v>25</v>
      </c>
      <c r="H91" s="1">
        <v>0.08</v>
      </c>
      <c r="I91" s="2">
        <v>16261</v>
      </c>
      <c r="J91" s="2">
        <v>37961</v>
      </c>
      <c r="K91" s="2">
        <v>374003</v>
      </c>
      <c r="L91" s="21">
        <f t="shared" si="2"/>
        <v>-1.5374796458851934</v>
      </c>
      <c r="M91" s="2">
        <v>-575022</v>
      </c>
    </row>
    <row r="92" spans="1:13" x14ac:dyDescent="0.35">
      <c r="A92" s="8">
        <v>44614</v>
      </c>
      <c r="B92">
        <v>2022</v>
      </c>
      <c r="C92" t="s">
        <v>29</v>
      </c>
      <c r="D92" t="s">
        <v>27</v>
      </c>
      <c r="E92" t="s">
        <v>24</v>
      </c>
      <c r="F92" t="s">
        <v>18</v>
      </c>
      <c r="G92" s="7">
        <v>198</v>
      </c>
      <c r="H92" s="1">
        <v>0.09</v>
      </c>
      <c r="I92" s="2">
        <v>5417</v>
      </c>
      <c r="J92" s="2">
        <v>11415</v>
      </c>
      <c r="K92" s="2">
        <v>976035.06</v>
      </c>
      <c r="L92" s="21">
        <f t="shared" si="2"/>
        <v>-1.3156647672062107</v>
      </c>
      <c r="M92" s="2">
        <v>-1284134.94</v>
      </c>
    </row>
    <row r="93" spans="1:13" x14ac:dyDescent="0.35">
      <c r="A93" s="8">
        <v>44778</v>
      </c>
      <c r="B93">
        <v>2022</v>
      </c>
      <c r="C93" t="s">
        <v>25</v>
      </c>
      <c r="D93" t="s">
        <v>9</v>
      </c>
      <c r="E93" t="s">
        <v>24</v>
      </c>
      <c r="F93" t="s">
        <v>15</v>
      </c>
      <c r="G93" s="7">
        <v>78</v>
      </c>
      <c r="H93" s="1">
        <v>0.25</v>
      </c>
      <c r="I93" s="2">
        <v>62458</v>
      </c>
      <c r="J93" s="2">
        <v>26833</v>
      </c>
      <c r="K93" s="2">
        <v>3653793</v>
      </c>
      <c r="L93" s="21">
        <f t="shared" si="2"/>
        <v>0.42717773010129473</v>
      </c>
      <c r="M93" s="2">
        <v>1560819</v>
      </c>
    </row>
    <row r="94" spans="1:13" x14ac:dyDescent="0.35">
      <c r="A94" s="8">
        <v>44749</v>
      </c>
      <c r="B94">
        <v>2022</v>
      </c>
      <c r="C94" t="s">
        <v>30</v>
      </c>
      <c r="D94" t="s">
        <v>9</v>
      </c>
      <c r="E94" t="s">
        <v>22</v>
      </c>
      <c r="F94" t="s">
        <v>15</v>
      </c>
      <c r="G94" s="7">
        <v>31</v>
      </c>
      <c r="H94" s="1">
        <v>0.11</v>
      </c>
      <c r="I94" s="2">
        <v>46576</v>
      </c>
      <c r="J94" s="2">
        <v>7158</v>
      </c>
      <c r="K94" s="2">
        <v>1285031.8400000001</v>
      </c>
      <c r="L94" s="21">
        <f t="shared" si="2"/>
        <v>0.82732101019380189</v>
      </c>
      <c r="M94" s="2">
        <v>1063133.8400000001</v>
      </c>
    </row>
    <row r="95" spans="1:13" x14ac:dyDescent="0.35">
      <c r="A95" s="8">
        <v>44941</v>
      </c>
      <c r="B95">
        <v>2023</v>
      </c>
      <c r="C95" t="s">
        <v>21</v>
      </c>
      <c r="D95" t="s">
        <v>9</v>
      </c>
      <c r="E95" t="s">
        <v>17</v>
      </c>
      <c r="F95" t="s">
        <v>15</v>
      </c>
      <c r="G95" s="7">
        <v>102</v>
      </c>
      <c r="H95" s="1">
        <v>0.16</v>
      </c>
      <c r="I95" s="2">
        <v>25358</v>
      </c>
      <c r="J95" s="2">
        <v>23309</v>
      </c>
      <c r="K95" s="2">
        <v>2172673.44</v>
      </c>
      <c r="L95" s="21">
        <f t="shared" si="2"/>
        <v>-9.428225900345158E-2</v>
      </c>
      <c r="M95" s="2">
        <v>-204844.56000000011</v>
      </c>
    </row>
    <row r="96" spans="1:13" x14ac:dyDescent="0.35">
      <c r="A96" s="8">
        <v>45054</v>
      </c>
      <c r="B96">
        <v>2023</v>
      </c>
      <c r="C96" t="s">
        <v>23</v>
      </c>
      <c r="D96" t="s">
        <v>9</v>
      </c>
      <c r="E96" t="s">
        <v>17</v>
      </c>
      <c r="F96" t="s">
        <v>11</v>
      </c>
      <c r="G96" s="7">
        <v>85</v>
      </c>
      <c r="H96" s="1">
        <v>0.28000000000000003</v>
      </c>
      <c r="I96" s="2">
        <v>8267</v>
      </c>
      <c r="J96" s="2">
        <v>9970</v>
      </c>
      <c r="K96" s="2">
        <v>505940.4</v>
      </c>
      <c r="L96" s="21">
        <f t="shared" si="2"/>
        <v>-0.67499966399204325</v>
      </c>
      <c r="M96" s="2">
        <v>-341509.6</v>
      </c>
    </row>
    <row r="97" spans="1:13" x14ac:dyDescent="0.35">
      <c r="A97" s="8">
        <v>44602</v>
      </c>
      <c r="B97">
        <v>2022</v>
      </c>
      <c r="C97" t="s">
        <v>29</v>
      </c>
      <c r="D97" t="s">
        <v>9</v>
      </c>
      <c r="E97" t="s">
        <v>22</v>
      </c>
      <c r="F97" t="s">
        <v>18</v>
      </c>
      <c r="G97" s="7">
        <v>163</v>
      </c>
      <c r="H97" s="1">
        <v>0.05</v>
      </c>
      <c r="I97" s="2">
        <v>22209</v>
      </c>
      <c r="J97" s="2">
        <v>9938</v>
      </c>
      <c r="K97" s="2">
        <v>3439063.65</v>
      </c>
      <c r="L97" s="21">
        <f t="shared" si="2"/>
        <v>0.52897237013918019</v>
      </c>
      <c r="M97" s="2">
        <v>1819169.65</v>
      </c>
    </row>
    <row r="98" spans="1:13" x14ac:dyDescent="0.35">
      <c r="A98" s="8">
        <v>44718</v>
      </c>
      <c r="B98">
        <v>2022</v>
      </c>
      <c r="C98" t="s">
        <v>31</v>
      </c>
      <c r="D98" t="s">
        <v>27</v>
      </c>
      <c r="E98" t="s">
        <v>22</v>
      </c>
      <c r="F98" t="s">
        <v>11</v>
      </c>
      <c r="G98" s="7">
        <v>153</v>
      </c>
      <c r="H98" s="1">
        <v>0.06</v>
      </c>
      <c r="I98" s="2">
        <v>29052</v>
      </c>
      <c r="J98" s="2">
        <v>24168</v>
      </c>
      <c r="K98" s="2">
        <v>4178258.64</v>
      </c>
      <c r="L98" s="21">
        <f t="shared" ref="L98:L101" si="3">M98/K98</f>
        <v>0.11501313858349366</v>
      </c>
      <c r="M98" s="2">
        <v>480554.63999999972</v>
      </c>
    </row>
    <row r="99" spans="1:13" x14ac:dyDescent="0.35">
      <c r="A99" s="8">
        <v>44576</v>
      </c>
      <c r="B99">
        <v>2022</v>
      </c>
      <c r="C99" t="s">
        <v>21</v>
      </c>
      <c r="D99" t="s">
        <v>27</v>
      </c>
      <c r="E99" t="s">
        <v>22</v>
      </c>
      <c r="F99" t="s">
        <v>15</v>
      </c>
      <c r="G99" s="7">
        <v>188</v>
      </c>
      <c r="H99" s="1">
        <v>0.13</v>
      </c>
      <c r="I99" s="2">
        <v>43513</v>
      </c>
      <c r="J99" s="2">
        <v>23384</v>
      </c>
      <c r="K99" s="2">
        <v>7116986.2800000003</v>
      </c>
      <c r="L99" s="21">
        <f t="shared" si="3"/>
        <v>0.38229584447084247</v>
      </c>
      <c r="M99" s="2">
        <v>2720794.28</v>
      </c>
    </row>
    <row r="100" spans="1:13" x14ac:dyDescent="0.35">
      <c r="A100" s="8">
        <v>44626</v>
      </c>
      <c r="B100">
        <v>2022</v>
      </c>
      <c r="C100" t="s">
        <v>12</v>
      </c>
      <c r="D100" t="s">
        <v>20</v>
      </c>
      <c r="E100" t="s">
        <v>14</v>
      </c>
      <c r="F100" t="s">
        <v>18</v>
      </c>
      <c r="G100" s="7">
        <v>95</v>
      </c>
      <c r="H100" s="1">
        <v>0.12</v>
      </c>
      <c r="I100" s="2">
        <v>31092</v>
      </c>
      <c r="J100" s="2">
        <v>21017</v>
      </c>
      <c r="K100" s="2">
        <v>2599291.2000000002</v>
      </c>
      <c r="L100" s="21">
        <f t="shared" si="3"/>
        <v>0.23186174754102201</v>
      </c>
      <c r="M100" s="2">
        <v>602676.20000000019</v>
      </c>
    </row>
    <row r="101" spans="1:13" x14ac:dyDescent="0.35">
      <c r="A101" s="8">
        <v>45082</v>
      </c>
      <c r="B101">
        <v>2023</v>
      </c>
      <c r="C101" t="s">
        <v>31</v>
      </c>
      <c r="D101" t="s">
        <v>9</v>
      </c>
      <c r="E101" t="s">
        <v>17</v>
      </c>
      <c r="F101" t="s">
        <v>11</v>
      </c>
      <c r="G101" s="7">
        <v>194</v>
      </c>
      <c r="H101" s="1">
        <v>7.0000000000000007E-2</v>
      </c>
      <c r="I101" s="2">
        <v>16338</v>
      </c>
      <c r="J101" s="2">
        <v>13344</v>
      </c>
      <c r="K101" s="2">
        <v>2947701.96</v>
      </c>
      <c r="L101" s="21">
        <f t="shared" si="3"/>
        <v>0.12177824110820214</v>
      </c>
      <c r="M101" s="2">
        <v>358965.96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686F8-C2CC-47E7-A4E4-4066DA0ED4B5}">
  <dimension ref="A1:AB35"/>
  <sheetViews>
    <sheetView showGridLines="0" zoomScale="70" zoomScaleNormal="70" workbookViewId="0">
      <selection activeCell="Y11" sqref="Y11"/>
    </sheetView>
  </sheetViews>
  <sheetFormatPr defaultRowHeight="14.5" x14ac:dyDescent="0.35"/>
  <cols>
    <col min="21" max="21" width="3.453125" customWidth="1"/>
    <col min="25" max="25" width="5.7265625" customWidth="1"/>
    <col min="28" max="28" width="14.26953125" customWidth="1"/>
  </cols>
  <sheetData>
    <row r="1" spans="1:28" x14ac:dyDescent="0.35">
      <c r="A1" s="9"/>
      <c r="B1" s="9"/>
      <c r="C1" s="9"/>
      <c r="D1" s="9"/>
      <c r="E1" s="9"/>
      <c r="F1" s="9"/>
      <c r="G1" s="9"/>
      <c r="H1" s="9"/>
      <c r="I1" s="9"/>
      <c r="J1" s="9"/>
      <c r="K1" s="9"/>
      <c r="L1" s="9"/>
      <c r="M1" s="9"/>
      <c r="N1" s="9"/>
      <c r="O1" s="9"/>
      <c r="P1" s="9"/>
      <c r="Q1" s="9"/>
      <c r="R1" s="9"/>
      <c r="S1" s="9"/>
      <c r="T1" s="9"/>
      <c r="U1" s="9"/>
      <c r="V1" s="9"/>
      <c r="W1" s="9"/>
      <c r="X1" s="9"/>
      <c r="Y1" s="9"/>
      <c r="Z1" s="9"/>
      <c r="AA1" s="9"/>
      <c r="AB1" s="9"/>
    </row>
    <row r="2" spans="1:28" x14ac:dyDescent="0.35">
      <c r="A2" s="9"/>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5">
      <c r="A3" s="9"/>
      <c r="B3" s="9"/>
      <c r="C3" s="9"/>
      <c r="D3" s="9"/>
      <c r="E3" s="9"/>
      <c r="F3" s="9"/>
      <c r="G3" s="9"/>
      <c r="H3" s="9"/>
      <c r="I3" s="9"/>
      <c r="J3" s="9"/>
      <c r="K3" s="9"/>
      <c r="L3" s="9"/>
      <c r="M3" s="9"/>
      <c r="N3" s="9"/>
      <c r="O3" s="9"/>
      <c r="P3" s="9"/>
      <c r="Q3" s="9"/>
      <c r="R3" s="9"/>
      <c r="S3" s="9"/>
      <c r="T3" s="9"/>
      <c r="U3" s="9"/>
      <c r="V3" s="9"/>
      <c r="W3" s="9"/>
      <c r="X3" s="9"/>
      <c r="Y3" s="9"/>
      <c r="Z3" s="9"/>
      <c r="AA3" s="9"/>
      <c r="AB3" s="9"/>
    </row>
    <row r="4" spans="1:28" x14ac:dyDescent="0.35">
      <c r="A4" s="9"/>
      <c r="B4" s="9"/>
      <c r="C4" s="9"/>
      <c r="D4" s="9"/>
      <c r="E4" s="9"/>
      <c r="F4" s="9"/>
      <c r="G4" s="9"/>
      <c r="H4" s="9"/>
      <c r="I4" s="9"/>
      <c r="J4" s="9"/>
      <c r="K4" s="9"/>
      <c r="L4" s="9"/>
      <c r="M4" s="9"/>
      <c r="N4" s="9"/>
      <c r="O4" s="9"/>
      <c r="P4" s="9"/>
      <c r="Q4" s="9"/>
      <c r="R4" s="9"/>
      <c r="S4" s="9"/>
      <c r="T4" s="9"/>
      <c r="U4" s="9"/>
      <c r="V4" s="9"/>
      <c r="W4" s="9"/>
      <c r="X4" s="9"/>
      <c r="Y4" s="9"/>
      <c r="Z4" s="9"/>
      <c r="AA4" s="9"/>
      <c r="AB4" s="9"/>
    </row>
    <row r="5" spans="1:28" x14ac:dyDescent="0.35">
      <c r="A5" s="9"/>
      <c r="B5" s="9"/>
      <c r="C5" s="9"/>
      <c r="D5" s="9"/>
      <c r="E5" s="9"/>
      <c r="F5" s="9"/>
      <c r="G5" s="9"/>
      <c r="H5" s="9"/>
      <c r="I5" s="9"/>
      <c r="J5" s="9"/>
      <c r="K5" s="9"/>
      <c r="L5" s="9"/>
      <c r="M5" s="9"/>
      <c r="N5" s="9"/>
      <c r="O5" s="9"/>
      <c r="P5" s="9"/>
      <c r="Q5" s="9"/>
      <c r="R5" s="9"/>
      <c r="S5" s="9"/>
      <c r="T5" s="9"/>
      <c r="U5" s="9"/>
      <c r="V5" s="9"/>
      <c r="W5" s="9"/>
      <c r="X5" s="9"/>
      <c r="Y5" s="9"/>
      <c r="Z5" s="9"/>
      <c r="AA5" s="9"/>
      <c r="AB5" s="9"/>
    </row>
    <row r="6" spans="1:28" x14ac:dyDescent="0.35">
      <c r="A6" s="9"/>
      <c r="B6" s="9"/>
      <c r="C6" s="9"/>
      <c r="D6" s="9"/>
      <c r="E6" s="9"/>
      <c r="F6" s="9"/>
      <c r="G6" s="9"/>
      <c r="H6" s="9"/>
      <c r="I6" s="9"/>
      <c r="J6" s="9"/>
      <c r="K6" s="9"/>
      <c r="L6" s="9"/>
      <c r="M6" s="9"/>
      <c r="N6" s="9"/>
      <c r="O6" s="9"/>
      <c r="P6" s="9"/>
      <c r="Q6" s="9"/>
      <c r="R6" s="9"/>
      <c r="S6" s="9"/>
      <c r="T6" s="9"/>
      <c r="U6" s="9"/>
      <c r="V6" s="9"/>
      <c r="W6" s="9"/>
      <c r="X6" s="9"/>
      <c r="Y6" s="9"/>
      <c r="Z6" s="9"/>
      <c r="AA6" s="9"/>
      <c r="AB6" s="9"/>
    </row>
    <row r="7" spans="1:28" x14ac:dyDescent="0.35">
      <c r="A7" s="9"/>
      <c r="B7" s="9"/>
      <c r="C7" s="9"/>
      <c r="D7" s="9"/>
      <c r="E7" s="9"/>
      <c r="F7" s="9"/>
      <c r="G7" s="9"/>
      <c r="H7" s="9"/>
      <c r="I7" s="9"/>
      <c r="J7" s="9"/>
      <c r="K7" s="9"/>
      <c r="L7" s="9"/>
      <c r="M7" s="9"/>
      <c r="N7" s="9"/>
      <c r="O7" s="9"/>
      <c r="P7" s="9"/>
      <c r="Q7" s="9"/>
      <c r="R7" s="9"/>
      <c r="S7" s="9"/>
      <c r="T7" s="9"/>
      <c r="U7" s="9"/>
      <c r="V7" s="9"/>
      <c r="W7" s="9"/>
      <c r="X7" s="9"/>
      <c r="Y7" s="9"/>
      <c r="Z7" s="9"/>
      <c r="AA7" s="9"/>
      <c r="AB7" s="9"/>
    </row>
    <row r="8" spans="1:28" x14ac:dyDescent="0.35">
      <c r="A8" s="9"/>
      <c r="B8" s="9"/>
      <c r="C8" s="9"/>
      <c r="D8" s="9"/>
      <c r="E8" s="9"/>
      <c r="F8" s="9"/>
      <c r="G8" s="9"/>
      <c r="H8" s="9"/>
      <c r="I8" s="9"/>
      <c r="J8" s="9"/>
      <c r="K8" s="9"/>
      <c r="L8" s="9"/>
      <c r="M8" s="9"/>
      <c r="N8" s="9"/>
      <c r="O8" s="9"/>
      <c r="P8" s="9"/>
      <c r="Q8" s="9"/>
      <c r="R8" s="9"/>
      <c r="S8" s="9"/>
      <c r="T8" s="9"/>
      <c r="U8" s="9"/>
      <c r="V8" s="9"/>
      <c r="W8" s="9"/>
      <c r="X8" s="9"/>
      <c r="Y8" s="9"/>
      <c r="Z8" s="9"/>
      <c r="AA8" s="9"/>
      <c r="AB8" s="9"/>
    </row>
    <row r="9" spans="1:28" x14ac:dyDescent="0.35">
      <c r="A9" s="9"/>
      <c r="B9" s="9"/>
      <c r="C9" s="9"/>
      <c r="D9" s="9"/>
      <c r="E9" s="9"/>
      <c r="F9" s="9"/>
      <c r="G9" s="9"/>
      <c r="H9" s="9"/>
      <c r="I9" s="9"/>
      <c r="J9" s="9"/>
      <c r="K9" s="9"/>
      <c r="L9" s="9"/>
      <c r="M9" s="9"/>
      <c r="N9" s="9"/>
      <c r="O9" s="9"/>
      <c r="P9" s="9"/>
      <c r="Q9" s="9"/>
      <c r="R9" s="9"/>
      <c r="S9" s="9"/>
      <c r="T9" s="9"/>
      <c r="U9" s="9"/>
      <c r="V9" s="9"/>
      <c r="W9" s="9"/>
      <c r="X9" s="9"/>
      <c r="Y9" s="9"/>
      <c r="Z9" s="9"/>
      <c r="AA9" s="9"/>
      <c r="AB9" s="9"/>
    </row>
    <row r="10" spans="1:28"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row>
    <row r="11" spans="1:28" x14ac:dyDescent="0.3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row>
    <row r="12" spans="1:28"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row>
    <row r="13" spans="1:28" x14ac:dyDescent="0.3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row>
    <row r="14" spans="1:28"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row>
    <row r="15" spans="1:28" x14ac:dyDescent="0.3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row>
    <row r="16" spans="1:28"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row>
    <row r="17" spans="1:28" x14ac:dyDescent="0.3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row>
    <row r="18" spans="1:28"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row>
    <row r="19" spans="1:28" x14ac:dyDescent="0.3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row>
    <row r="20" spans="1:28"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row>
    <row r="21" spans="1:28" x14ac:dyDescent="0.3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row>
    <row r="22" spans="1:28"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row>
    <row r="23" spans="1:28" x14ac:dyDescent="0.3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row>
    <row r="24" spans="1:28" x14ac:dyDescent="0.3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spans="1:28" x14ac:dyDescent="0.3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spans="1:28" x14ac:dyDescent="0.3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spans="1:28" x14ac:dyDescent="0.3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spans="1:28" x14ac:dyDescent="0.3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row>
    <row r="29" spans="1:28" x14ac:dyDescent="0.3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row>
    <row r="30" spans="1:28" x14ac:dyDescent="0.3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row>
    <row r="31" spans="1:28" x14ac:dyDescent="0.3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row>
    <row r="32" spans="1:28" x14ac:dyDescent="0.3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row>
    <row r="33" spans="1:28" x14ac:dyDescent="0.3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spans="1:28" x14ac:dyDescent="0.3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row>
    <row r="35" spans="1:28" x14ac:dyDescent="0.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D1BF0-D457-4660-B80F-24E97C162234}">
  <dimension ref="A3:J18"/>
  <sheetViews>
    <sheetView workbookViewId="0">
      <selection activeCell="K9" sqref="K9"/>
    </sheetView>
  </sheetViews>
  <sheetFormatPr defaultRowHeight="14.5" x14ac:dyDescent="0.35"/>
  <cols>
    <col min="1" max="1" width="18.26953125" bestFit="1" customWidth="1"/>
    <col min="2" max="2" width="14.36328125" bestFit="1" customWidth="1"/>
    <col min="3" max="3" width="11.90625" bestFit="1" customWidth="1"/>
    <col min="4" max="4" width="15" bestFit="1" customWidth="1"/>
    <col min="5" max="5" width="13" bestFit="1" customWidth="1"/>
    <col min="6" max="6" width="11.90625" bestFit="1" customWidth="1"/>
    <col min="7" max="7" width="17.36328125" bestFit="1" customWidth="1"/>
    <col min="8" max="8" width="12.36328125" bestFit="1" customWidth="1"/>
    <col min="9" max="9" width="14.36328125" bestFit="1" customWidth="1"/>
    <col min="10" max="10" width="11.90625" bestFit="1" customWidth="1"/>
    <col min="11" max="11" width="14.36328125" bestFit="1" customWidth="1"/>
    <col min="12" max="12" width="15.1796875" bestFit="1" customWidth="1"/>
  </cols>
  <sheetData>
    <row r="3" spans="1:10" x14ac:dyDescent="0.35">
      <c r="A3" t="s">
        <v>34</v>
      </c>
      <c r="D3" t="s">
        <v>40</v>
      </c>
    </row>
    <row r="4" spans="1:10" x14ac:dyDescent="0.35">
      <c r="A4" s="2">
        <v>154153925.36000001</v>
      </c>
      <c r="D4" s="2">
        <v>631240.36000000045</v>
      </c>
    </row>
    <row r="7" spans="1:10" x14ac:dyDescent="0.35">
      <c r="A7" t="s">
        <v>41</v>
      </c>
      <c r="D7" s="4" t="s">
        <v>32</v>
      </c>
      <c r="E7" t="s">
        <v>42</v>
      </c>
      <c r="F7" t="s">
        <v>43</v>
      </c>
      <c r="H7" s="4" t="s">
        <v>32</v>
      </c>
      <c r="I7" t="s">
        <v>34</v>
      </c>
      <c r="J7" t="s">
        <v>35</v>
      </c>
    </row>
    <row r="8" spans="1:10" x14ac:dyDescent="0.35">
      <c r="A8" s="22">
        <v>102.29411764705883</v>
      </c>
      <c r="D8" s="5" t="s">
        <v>24</v>
      </c>
      <c r="E8" s="2">
        <v>10573920.960000001</v>
      </c>
      <c r="F8" s="2">
        <v>-1532252.0399999998</v>
      </c>
      <c r="H8" s="5" t="s">
        <v>20</v>
      </c>
      <c r="I8" s="2">
        <v>38159128.520000003</v>
      </c>
      <c r="J8" s="2">
        <v>4192251.5200000009</v>
      </c>
    </row>
    <row r="9" spans="1:10" x14ac:dyDescent="0.35">
      <c r="D9" s="5" t="s">
        <v>17</v>
      </c>
      <c r="E9" s="2">
        <v>47812236.309999995</v>
      </c>
      <c r="F9" s="2">
        <v>5092657.3100000033</v>
      </c>
      <c r="H9" s="5" t="s">
        <v>13</v>
      </c>
      <c r="I9" s="2">
        <v>30708388.859999999</v>
      </c>
      <c r="J9" s="2">
        <v>-1051305.1399999999</v>
      </c>
    </row>
    <row r="10" spans="1:10" x14ac:dyDescent="0.35">
      <c r="D10" s="5" t="s">
        <v>10</v>
      </c>
      <c r="E10" s="2">
        <v>26217068.050000004</v>
      </c>
      <c r="F10" s="2">
        <v>8580062.0500000007</v>
      </c>
      <c r="H10" s="5" t="s">
        <v>27</v>
      </c>
      <c r="I10" s="2">
        <v>39767911.979999997</v>
      </c>
      <c r="J10" s="2">
        <v>8197017.9800000023</v>
      </c>
    </row>
    <row r="11" spans="1:10" x14ac:dyDescent="0.35">
      <c r="D11" s="5" t="s">
        <v>14</v>
      </c>
      <c r="E11" s="2">
        <v>23685531.98</v>
      </c>
      <c r="F11" s="2">
        <v>1146357.9800000009</v>
      </c>
      <c r="H11" s="5" t="s">
        <v>9</v>
      </c>
      <c r="I11" s="2">
        <v>45518495.999999993</v>
      </c>
      <c r="J11" s="2">
        <v>20855293.999999996</v>
      </c>
    </row>
    <row r="12" spans="1:10" x14ac:dyDescent="0.35">
      <c r="D12" s="5" t="s">
        <v>22</v>
      </c>
      <c r="E12" s="2">
        <v>45865168.060000002</v>
      </c>
      <c r="F12" s="2">
        <v>18906433.060000002</v>
      </c>
      <c r="H12" s="5" t="s">
        <v>33</v>
      </c>
      <c r="I12" s="2">
        <v>154153925.35999998</v>
      </c>
      <c r="J12" s="2">
        <v>32193258.359999999</v>
      </c>
    </row>
    <row r="13" spans="1:10" x14ac:dyDescent="0.35">
      <c r="D13" s="5" t="s">
        <v>33</v>
      </c>
      <c r="E13" s="2">
        <v>154153925.36000001</v>
      </c>
      <c r="F13" s="2">
        <v>32193258.360000007</v>
      </c>
    </row>
    <row r="16" spans="1:10" x14ac:dyDescent="0.35">
      <c r="H16" s="4" t="s">
        <v>32</v>
      </c>
    </row>
    <row r="17" spans="8:8" x14ac:dyDescent="0.35">
      <c r="H17" s="5">
        <v>2022</v>
      </c>
    </row>
    <row r="18" spans="8:8" x14ac:dyDescent="0.35">
      <c r="H18" s="5" t="s">
        <v>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F71347-3857-4A95-9881-DD7050EE8E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 Performance</vt:lpstr>
      <vt:lpstr>Channel Analysis</vt:lpstr>
      <vt:lpstr>Monthly Trend</vt:lpstr>
      <vt:lpstr>Sheet2</vt:lpstr>
      <vt:lpstr>Raw Data</vt:lpstr>
      <vt:lpstr>Sales 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alluri dedeepya</cp:lastModifiedBy>
  <dcterms:created xsi:type="dcterms:W3CDTF">2025-10-25T06:06:25Z</dcterms:created>
  <dcterms:modified xsi:type="dcterms:W3CDTF">2025-10-31T11:08:19Z</dcterms:modified>
</cp:coreProperties>
</file>