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cfef2a5419201f/Desktop/Sales-Performance-Dashboard/"/>
    </mc:Choice>
  </mc:AlternateContent>
  <xr:revisionPtr revIDLastSave="0" documentId="8_{9CBF4D3B-2FA2-4D6F-BC4C-FC234DABC984}" xr6:coauthVersionLast="47" xr6:coauthVersionMax="47" xr10:uidLastSave="{00000000-0000-0000-0000-000000000000}"/>
  <bookViews>
    <workbookView xWindow="-110" yWindow="-110" windowWidth="19420" windowHeight="11500" xr2:uid="{FB7427A0-E731-46B1-A363-226C7CA44E92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1" i="1" l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<sst xmlns="http://schemas.openxmlformats.org/spreadsheetml/2006/main" count="413" uniqueCount="37">
  <si>
    <t>Date</t>
  </si>
  <si>
    <t>Year</t>
  </si>
  <si>
    <t>Month</t>
  </si>
  <si>
    <t>Region</t>
  </si>
  <si>
    <t>Product</t>
  </si>
  <si>
    <t>Channel</t>
  </si>
  <si>
    <t>UnitsSold</t>
  </si>
  <si>
    <t>Discount %</t>
  </si>
  <si>
    <t>Price(₹)</t>
  </si>
  <si>
    <t>CostPerUnit</t>
  </si>
  <si>
    <t>Revenue</t>
  </si>
  <si>
    <t>profit margin %</t>
  </si>
  <si>
    <t>Profit</t>
  </si>
  <si>
    <t>April</t>
  </si>
  <si>
    <t>West</t>
  </si>
  <si>
    <t>Mobile</t>
  </si>
  <si>
    <t>Distributor</t>
  </si>
  <si>
    <t>March</t>
  </si>
  <si>
    <t>North</t>
  </si>
  <si>
    <t>Monitor</t>
  </si>
  <si>
    <t>Online</t>
  </si>
  <si>
    <t>September</t>
  </si>
  <si>
    <t>Laptop</t>
  </si>
  <si>
    <t>Retail</t>
  </si>
  <si>
    <t>December</t>
  </si>
  <si>
    <t>East</t>
  </si>
  <si>
    <t>January</t>
  </si>
  <si>
    <t>Tablet</t>
  </si>
  <si>
    <t>May</t>
  </si>
  <si>
    <t>Headphones</t>
  </si>
  <si>
    <t>August</t>
  </si>
  <si>
    <t>November</t>
  </si>
  <si>
    <t>South</t>
  </si>
  <si>
    <t>October</t>
  </si>
  <si>
    <t>February</t>
  </si>
  <si>
    <t>July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</si>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</sst>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4009]m/d/yyyy;@"/>
    <numFmt numFmtId="165" formatCode="_ [$₹-4009]\ * #,##0.00_ ;_ [$₹-4009]\ * \-#,##0.00_ ;_ [$₹-4009]\ * &quot;-&quot;??_ ;_ @_ "/>
    <numFmt numFmtId="166" formatCode="&quot;₹&quot;\ 00,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ptos Narrow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166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1">
    <dxf>
      <numFmt numFmtId="166" formatCode="&quot;₹&quot;\ 00,000"/>
    </dxf>
    <dxf>
      <numFmt numFmtId="14" formatCode="0.00%"/>
    </dxf>
    <dxf>
      <numFmt numFmtId="166" formatCode="&quot;₹&quot;\ 00,000"/>
    </dxf>
    <dxf>
      <numFmt numFmtId="166" formatCode="&quot;₹&quot;\ 00,000"/>
    </dxf>
    <dxf>
      <numFmt numFmtId="166" formatCode="&quot;₹&quot;\ 00,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64" formatCode="[$-24009]m/d/yy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none"/>
      </font>
      <numFmt numFmtId="166" formatCode="&quot;₹&quot;\ 00,0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9E09B-B3DC-4EA9-885C-FC7B6F176E21}" name="Table13" displayName="Table13" ref="A1:M101" totalsRowShown="0" headerRowDxfId="10" headerRowBorderDxfId="8" tableBorderDxfId="9">
  <autoFilter ref="A1:M101" xr:uid="{CC39E09B-B3DC-4EA9-885C-FC7B6F176E21}"/>
  <tableColumns count="13">
    <tableColumn id="1" xr3:uid="{81405719-2E74-45F3-824B-80D0BE4DE51B}" name="Date" dataDxfId="7"/>
    <tableColumn id="2" xr3:uid="{88FE8678-F54A-4D5D-9ACA-1CE456619B6F}" name="Year"/>
    <tableColumn id="3" xr3:uid="{05CAB543-23C9-451C-A643-661276554CE3}" name="Month"/>
    <tableColumn id="4" xr3:uid="{0195551E-CD69-4BF7-A9B1-5F9AB0FA2242}" name="Region"/>
    <tableColumn id="5" xr3:uid="{A85F210C-CAE5-4822-B11A-700F3243D567}" name="Product"/>
    <tableColumn id="6" xr3:uid="{4D5DC209-A486-4F39-AC8F-3449A611CBCD}" name="Channel"/>
    <tableColumn id="7" xr3:uid="{03B370AB-09F9-45BA-BD6B-C3B65990BC13}" name="UnitsSold" dataDxfId="6"/>
    <tableColumn id="8" xr3:uid="{0928234F-C86D-48D1-8B24-6BA00ADD1B27}" name="Discount %" dataDxfId="5" dataCellStyle="Percent"/>
    <tableColumn id="9" xr3:uid="{0EEF4C64-B351-4609-851D-220EA6A64755}" name="Price(₹)" dataDxfId="4"/>
    <tableColumn id="10" xr3:uid="{D08F5240-8948-4BE7-9A03-F583F658DC13}" name="CostPerUnit" dataDxfId="3"/>
    <tableColumn id="11" xr3:uid="{4242221B-73F5-4986-85DB-DF6538957FF8}" name="Revenue" dataDxfId="2"/>
    <tableColumn id="12" xr3:uid="{6237AAD4-D37F-461D-9FBA-6B31A79D57D1}" name="profit margin %" dataDxfId="1" dataCellStyle="Percent">
      <calculatedColumnFormula>M2/K2</calculatedColumnFormula>
    </tableColumn>
    <tableColumn id="13" xr3:uid="{CCE22898-E8F4-4A76-8CD2-ACD670C859DA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4B6A-71D7-434E-84A6-0150E097BDAC}">
  <dimension ref="A1:N101"/>
  <sheetViews>
    <sheetView tabSelected="1" workbookViewId="0">
      <selection sqref="A1:XFD1048576"/>
    </sheetView>
  </sheetViews>
  <sheetFormatPr defaultRowHeight="14.5" x14ac:dyDescent="0.35"/>
  <cols>
    <col min="1" max="1" width="10.08984375" style="8" customWidth="1"/>
    <col min="2" max="2" width="10.08984375" customWidth="1"/>
    <col min="3" max="3" width="11.6328125" customWidth="1"/>
    <col min="4" max="4" width="13.453125" customWidth="1"/>
    <col min="5" max="5" width="12.90625" customWidth="1"/>
    <col min="6" max="6" width="13.08984375" customWidth="1"/>
    <col min="7" max="7" width="14.54296875" style="9" customWidth="1"/>
    <col min="8" max="8" width="17.54296875" style="10" customWidth="1"/>
    <col min="9" max="9" width="13.453125" style="11" customWidth="1"/>
    <col min="10" max="10" width="18.6328125" style="11" customWidth="1"/>
    <col min="11" max="11" width="16.90625" style="11" customWidth="1"/>
    <col min="12" max="12" width="20.90625" style="10" customWidth="1"/>
    <col min="13" max="13" width="15.1796875" style="11" customWidth="1"/>
  </cols>
  <sheetData>
    <row r="1" spans="1:14" ht="41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4" t="s">
        <v>11</v>
      </c>
      <c r="M1" s="6" t="s">
        <v>12</v>
      </c>
      <c r="N1" s="7"/>
    </row>
    <row r="2" spans="1:14" x14ac:dyDescent="0.35">
      <c r="A2" s="8">
        <v>44664</v>
      </c>
      <c r="B2">
        <v>2022</v>
      </c>
      <c r="C2" t="s">
        <v>13</v>
      </c>
      <c r="D2" t="s">
        <v>14</v>
      </c>
      <c r="E2" t="s">
        <v>15</v>
      </c>
      <c r="F2" t="s">
        <v>16</v>
      </c>
      <c r="G2" s="9">
        <v>35</v>
      </c>
      <c r="H2" s="10">
        <v>0.28000000000000003</v>
      </c>
      <c r="I2" s="11">
        <v>32932</v>
      </c>
      <c r="J2" s="11">
        <v>30569</v>
      </c>
      <c r="K2" s="11">
        <v>829886.4</v>
      </c>
      <c r="L2" s="12">
        <f t="shared" ref="L2:L65" si="0">M2/K2</f>
        <v>-0.289230670607447</v>
      </c>
      <c r="M2" s="11">
        <v>-240028.6</v>
      </c>
    </row>
    <row r="3" spans="1:14" x14ac:dyDescent="0.35">
      <c r="A3" s="8">
        <v>44997</v>
      </c>
      <c r="B3">
        <v>2023</v>
      </c>
      <c r="C3" t="s">
        <v>17</v>
      </c>
      <c r="D3" t="s">
        <v>18</v>
      </c>
      <c r="E3" t="s">
        <v>19</v>
      </c>
      <c r="F3" t="s">
        <v>20</v>
      </c>
      <c r="G3" s="9">
        <v>108</v>
      </c>
      <c r="H3" s="10">
        <v>0.23</v>
      </c>
      <c r="I3" s="11">
        <v>66389</v>
      </c>
      <c r="J3" s="11">
        <v>26322</v>
      </c>
      <c r="K3" s="11">
        <v>5520909.2400000002</v>
      </c>
      <c r="L3" s="12">
        <f t="shared" si="0"/>
        <v>0.48508916259597851</v>
      </c>
      <c r="M3" s="11">
        <v>2678133.2400000002</v>
      </c>
    </row>
    <row r="4" spans="1:14" x14ac:dyDescent="0.35">
      <c r="A4" s="8">
        <v>44832</v>
      </c>
      <c r="B4">
        <v>2022</v>
      </c>
      <c r="C4" t="s">
        <v>21</v>
      </c>
      <c r="D4" t="s">
        <v>14</v>
      </c>
      <c r="E4" t="s">
        <v>22</v>
      </c>
      <c r="F4" t="s">
        <v>23</v>
      </c>
      <c r="G4" s="9">
        <v>59</v>
      </c>
      <c r="H4" s="10">
        <v>0.03</v>
      </c>
      <c r="I4" s="11">
        <v>14435</v>
      </c>
      <c r="J4" s="11">
        <v>22065</v>
      </c>
      <c r="K4" s="11">
        <v>826115.04999999993</v>
      </c>
      <c r="L4" s="12">
        <f t="shared" si="0"/>
        <v>-0.57585193490906639</v>
      </c>
      <c r="M4" s="11">
        <v>-475719.95000000013</v>
      </c>
    </row>
    <row r="5" spans="1:14" x14ac:dyDescent="0.35">
      <c r="A5" s="8">
        <v>44668</v>
      </c>
      <c r="B5">
        <v>2022</v>
      </c>
      <c r="C5" t="s">
        <v>13</v>
      </c>
      <c r="D5" t="s">
        <v>14</v>
      </c>
      <c r="E5" t="s">
        <v>22</v>
      </c>
      <c r="F5" t="s">
        <v>23</v>
      </c>
      <c r="G5" s="9">
        <v>162</v>
      </c>
      <c r="H5" s="10">
        <v>0.24</v>
      </c>
      <c r="I5" s="11">
        <v>59340</v>
      </c>
      <c r="J5" s="11">
        <v>20924</v>
      </c>
      <c r="K5" s="11">
        <v>7305940.7999999998</v>
      </c>
      <c r="L5" s="12">
        <f t="shared" si="0"/>
        <v>0.53603675518421934</v>
      </c>
      <c r="M5" s="11">
        <v>3916252.8</v>
      </c>
    </row>
    <row r="6" spans="1:14" x14ac:dyDescent="0.35">
      <c r="A6" s="8">
        <v>44633</v>
      </c>
      <c r="B6">
        <v>2022</v>
      </c>
      <c r="C6" t="s">
        <v>17</v>
      </c>
      <c r="D6" t="s">
        <v>14</v>
      </c>
      <c r="E6" t="s">
        <v>22</v>
      </c>
      <c r="F6" t="s">
        <v>16</v>
      </c>
      <c r="G6" s="9">
        <v>161</v>
      </c>
      <c r="H6" s="10">
        <v>0.2</v>
      </c>
      <c r="I6" s="11">
        <v>49078</v>
      </c>
      <c r="J6" s="11">
        <v>25556</v>
      </c>
      <c r="K6" s="11">
        <v>6321246.4000000004</v>
      </c>
      <c r="L6" s="12">
        <f t="shared" si="0"/>
        <v>0.34909735523044944</v>
      </c>
      <c r="M6" s="11">
        <v>2206730.4</v>
      </c>
    </row>
    <row r="7" spans="1:14" x14ac:dyDescent="0.35">
      <c r="A7" s="8">
        <v>45262</v>
      </c>
      <c r="B7">
        <v>2023</v>
      </c>
      <c r="C7" t="s">
        <v>24</v>
      </c>
      <c r="D7" t="s">
        <v>25</v>
      </c>
      <c r="E7" t="s">
        <v>22</v>
      </c>
      <c r="F7" t="s">
        <v>23</v>
      </c>
      <c r="G7" s="9">
        <v>22</v>
      </c>
      <c r="H7" s="10">
        <v>0.28000000000000003</v>
      </c>
      <c r="I7" s="11">
        <v>18296</v>
      </c>
      <c r="J7" s="11">
        <v>29962</v>
      </c>
      <c r="K7" s="11">
        <v>289808.64000000001</v>
      </c>
      <c r="L7" s="12">
        <f t="shared" si="0"/>
        <v>-1.2744801535247534</v>
      </c>
      <c r="M7" s="11">
        <v>-369355.36</v>
      </c>
    </row>
    <row r="8" spans="1:14" x14ac:dyDescent="0.35">
      <c r="A8" s="8">
        <v>44582</v>
      </c>
      <c r="B8">
        <v>2022</v>
      </c>
      <c r="C8" t="s">
        <v>26</v>
      </c>
      <c r="D8" t="s">
        <v>25</v>
      </c>
      <c r="E8" t="s">
        <v>27</v>
      </c>
      <c r="F8" t="s">
        <v>20</v>
      </c>
      <c r="G8" s="9">
        <v>69</v>
      </c>
      <c r="H8" s="10">
        <v>0.24</v>
      </c>
      <c r="I8" s="11">
        <v>56293</v>
      </c>
      <c r="J8" s="11">
        <v>31295</v>
      </c>
      <c r="K8" s="11">
        <v>2952004.92</v>
      </c>
      <c r="L8" s="12">
        <f t="shared" si="0"/>
        <v>0.26851239800779192</v>
      </c>
      <c r="M8" s="11">
        <v>792649.91999999993</v>
      </c>
    </row>
    <row r="9" spans="1:14" x14ac:dyDescent="0.35">
      <c r="A9" s="8">
        <v>45176</v>
      </c>
      <c r="B9">
        <v>2023</v>
      </c>
      <c r="C9" t="s">
        <v>21</v>
      </c>
      <c r="D9" t="s">
        <v>25</v>
      </c>
      <c r="E9" t="s">
        <v>22</v>
      </c>
      <c r="F9" t="s">
        <v>16</v>
      </c>
      <c r="G9" s="9">
        <v>144</v>
      </c>
      <c r="H9" s="10">
        <v>0.03</v>
      </c>
      <c r="I9" s="11">
        <v>35445</v>
      </c>
      <c r="J9" s="11">
        <v>16807</v>
      </c>
      <c r="K9" s="11">
        <v>4950957.5999999996</v>
      </c>
      <c r="L9" s="12">
        <f t="shared" si="0"/>
        <v>0.51116365852133339</v>
      </c>
      <c r="M9" s="11">
        <v>2530749.6</v>
      </c>
    </row>
    <row r="10" spans="1:14" x14ac:dyDescent="0.35">
      <c r="A10" s="8">
        <v>44683</v>
      </c>
      <c r="B10">
        <v>2022</v>
      </c>
      <c r="C10" t="s">
        <v>28</v>
      </c>
      <c r="D10" t="s">
        <v>18</v>
      </c>
      <c r="E10" t="s">
        <v>19</v>
      </c>
      <c r="F10" t="s">
        <v>20</v>
      </c>
      <c r="G10" s="9">
        <v>66</v>
      </c>
      <c r="H10" s="10">
        <v>0.09</v>
      </c>
      <c r="I10" s="11">
        <v>18245</v>
      </c>
      <c r="J10" s="11">
        <v>29432</v>
      </c>
      <c r="K10" s="11">
        <v>1095794.7</v>
      </c>
      <c r="L10" s="12">
        <f t="shared" si="0"/>
        <v>-0.7726970207101751</v>
      </c>
      <c r="M10" s="11">
        <v>-846717.3</v>
      </c>
    </row>
    <row r="11" spans="1:14" x14ac:dyDescent="0.35">
      <c r="A11" s="8">
        <v>45028</v>
      </c>
      <c r="B11">
        <v>2023</v>
      </c>
      <c r="C11" t="s">
        <v>13</v>
      </c>
      <c r="D11" t="s">
        <v>14</v>
      </c>
      <c r="E11" t="s">
        <v>29</v>
      </c>
      <c r="F11" t="s">
        <v>20</v>
      </c>
      <c r="G11" s="9">
        <v>45</v>
      </c>
      <c r="H11" s="10">
        <v>0.04</v>
      </c>
      <c r="I11" s="11">
        <v>65403</v>
      </c>
      <c r="J11" s="11">
        <v>20749</v>
      </c>
      <c r="K11" s="11">
        <v>2825409.6</v>
      </c>
      <c r="L11" s="12">
        <f t="shared" si="0"/>
        <v>0.66953287056149313</v>
      </c>
      <c r="M11" s="11">
        <v>1891704.6</v>
      </c>
    </row>
    <row r="12" spans="1:14" x14ac:dyDescent="0.35">
      <c r="A12" s="8">
        <v>44776</v>
      </c>
      <c r="B12">
        <v>2022</v>
      </c>
      <c r="C12" t="s">
        <v>30</v>
      </c>
      <c r="D12" t="s">
        <v>25</v>
      </c>
      <c r="E12" t="s">
        <v>22</v>
      </c>
      <c r="F12" t="s">
        <v>23</v>
      </c>
      <c r="G12" s="9">
        <v>182</v>
      </c>
      <c r="H12" s="10">
        <v>0.08</v>
      </c>
      <c r="I12" s="11">
        <v>34124</v>
      </c>
      <c r="J12" s="11">
        <v>29256</v>
      </c>
      <c r="K12" s="11">
        <v>5713722.5600000015</v>
      </c>
      <c r="L12" s="12">
        <f t="shared" si="0"/>
        <v>6.8104559840581488E-2</v>
      </c>
      <c r="M12" s="11">
        <v>389130.56000000052</v>
      </c>
    </row>
    <row r="13" spans="1:14" x14ac:dyDescent="0.35">
      <c r="A13" s="8">
        <v>44892</v>
      </c>
      <c r="B13">
        <v>2022</v>
      </c>
      <c r="C13" t="s">
        <v>31</v>
      </c>
      <c r="D13" t="s">
        <v>25</v>
      </c>
      <c r="E13" t="s">
        <v>27</v>
      </c>
      <c r="F13" t="s">
        <v>23</v>
      </c>
      <c r="G13" s="9">
        <v>29</v>
      </c>
      <c r="H13" s="10">
        <v>0.23</v>
      </c>
      <c r="I13" s="11">
        <v>34899</v>
      </c>
      <c r="J13" s="11">
        <v>4324</v>
      </c>
      <c r="K13" s="11">
        <v>779294.67</v>
      </c>
      <c r="L13" s="12">
        <f t="shared" si="0"/>
        <v>0.83909039182829259</v>
      </c>
      <c r="M13" s="11">
        <v>653898.67000000004</v>
      </c>
    </row>
    <row r="14" spans="1:14" x14ac:dyDescent="0.35">
      <c r="A14" s="8">
        <v>45020</v>
      </c>
      <c r="B14">
        <v>2023</v>
      </c>
      <c r="C14" t="s">
        <v>13</v>
      </c>
      <c r="D14" t="s">
        <v>18</v>
      </c>
      <c r="E14" t="s">
        <v>27</v>
      </c>
      <c r="F14" t="s">
        <v>23</v>
      </c>
      <c r="G14" s="9">
        <v>74</v>
      </c>
      <c r="H14" s="10">
        <v>0.02</v>
      </c>
      <c r="I14" s="11">
        <v>48919</v>
      </c>
      <c r="J14" s="11">
        <v>28731</v>
      </c>
      <c r="K14" s="11">
        <v>3547605.88</v>
      </c>
      <c r="L14" s="12">
        <f t="shared" si="0"/>
        <v>0.4006961111474987</v>
      </c>
      <c r="M14" s="11">
        <v>1421511.88</v>
      </c>
    </row>
    <row r="15" spans="1:14" x14ac:dyDescent="0.35">
      <c r="A15" s="8">
        <v>44649</v>
      </c>
      <c r="B15">
        <v>2022</v>
      </c>
      <c r="C15" t="s">
        <v>17</v>
      </c>
      <c r="D15" t="s">
        <v>25</v>
      </c>
      <c r="E15" t="s">
        <v>22</v>
      </c>
      <c r="F15" t="s">
        <v>23</v>
      </c>
      <c r="G15" s="9">
        <v>17</v>
      </c>
      <c r="H15" s="10">
        <v>0.16</v>
      </c>
      <c r="I15" s="11">
        <v>48225</v>
      </c>
      <c r="J15" s="11">
        <v>38909</v>
      </c>
      <c r="K15" s="11">
        <v>688653</v>
      </c>
      <c r="L15" s="12">
        <f t="shared" si="0"/>
        <v>3.9497395640474955E-2</v>
      </c>
      <c r="M15" s="11">
        <v>27200</v>
      </c>
    </row>
    <row r="16" spans="1:14" x14ac:dyDescent="0.35">
      <c r="A16" s="8">
        <v>44934</v>
      </c>
      <c r="B16">
        <v>2023</v>
      </c>
      <c r="C16" t="s">
        <v>26</v>
      </c>
      <c r="D16" t="s">
        <v>18</v>
      </c>
      <c r="E16" t="s">
        <v>29</v>
      </c>
      <c r="F16" t="s">
        <v>23</v>
      </c>
      <c r="G16" s="9">
        <v>153</v>
      </c>
      <c r="H16" s="10">
        <v>0.02</v>
      </c>
      <c r="I16" s="11">
        <v>60769</v>
      </c>
      <c r="J16" s="11">
        <v>26803</v>
      </c>
      <c r="K16" s="11">
        <v>9111703.8599999994</v>
      </c>
      <c r="L16" s="12">
        <f t="shared" si="0"/>
        <v>0.54993499975316362</v>
      </c>
      <c r="M16" s="11">
        <v>5010844.8599999994</v>
      </c>
    </row>
    <row r="17" spans="1:13" x14ac:dyDescent="0.35">
      <c r="A17" s="8">
        <v>44661</v>
      </c>
      <c r="B17">
        <v>2022</v>
      </c>
      <c r="C17" t="s">
        <v>13</v>
      </c>
      <c r="D17" t="s">
        <v>32</v>
      </c>
      <c r="E17" t="s">
        <v>22</v>
      </c>
      <c r="F17" t="s">
        <v>16</v>
      </c>
      <c r="G17" s="9">
        <v>151</v>
      </c>
      <c r="H17" s="10">
        <v>0.15</v>
      </c>
      <c r="I17" s="11">
        <v>40247</v>
      </c>
      <c r="J17" s="11">
        <v>22870</v>
      </c>
      <c r="K17" s="11">
        <v>5165702.45</v>
      </c>
      <c r="L17" s="12">
        <f t="shared" si="0"/>
        <v>0.33148104571915477</v>
      </c>
      <c r="M17" s="11">
        <v>1712332.45</v>
      </c>
    </row>
    <row r="18" spans="1:13" x14ac:dyDescent="0.35">
      <c r="A18" s="8">
        <v>45225</v>
      </c>
      <c r="B18">
        <v>2023</v>
      </c>
      <c r="C18" t="s">
        <v>33</v>
      </c>
      <c r="D18" t="s">
        <v>25</v>
      </c>
      <c r="E18" t="s">
        <v>27</v>
      </c>
      <c r="F18" t="s">
        <v>20</v>
      </c>
      <c r="G18" s="9">
        <v>124</v>
      </c>
      <c r="H18" s="10">
        <v>0.03</v>
      </c>
      <c r="I18" s="11">
        <v>60636</v>
      </c>
      <c r="J18" s="11">
        <v>37578</v>
      </c>
      <c r="K18" s="11">
        <v>7293298.0800000001</v>
      </c>
      <c r="L18" s="12">
        <f t="shared" si="0"/>
        <v>0.36110221344470267</v>
      </c>
      <c r="M18" s="11">
        <v>2633626.08</v>
      </c>
    </row>
    <row r="19" spans="1:13" x14ac:dyDescent="0.35">
      <c r="A19" s="8">
        <v>44692</v>
      </c>
      <c r="B19">
        <v>2022</v>
      </c>
      <c r="C19" t="s">
        <v>28</v>
      </c>
      <c r="D19" t="s">
        <v>32</v>
      </c>
      <c r="E19" t="s">
        <v>15</v>
      </c>
      <c r="F19" t="s">
        <v>20</v>
      </c>
      <c r="G19" s="9">
        <v>152</v>
      </c>
      <c r="H19" s="10">
        <v>0.17</v>
      </c>
      <c r="I19" s="11">
        <v>34222</v>
      </c>
      <c r="J19" s="11">
        <v>9588</v>
      </c>
      <c r="K19" s="11">
        <v>4317447.5199999996</v>
      </c>
      <c r="L19" s="12">
        <f t="shared" si="0"/>
        <v>0.66244499944726609</v>
      </c>
      <c r="M19" s="11">
        <v>2860071.52</v>
      </c>
    </row>
    <row r="20" spans="1:13" x14ac:dyDescent="0.35">
      <c r="A20" s="8">
        <v>45223</v>
      </c>
      <c r="B20">
        <v>2023</v>
      </c>
      <c r="C20" t="s">
        <v>33</v>
      </c>
      <c r="D20" t="s">
        <v>18</v>
      </c>
      <c r="E20" t="s">
        <v>19</v>
      </c>
      <c r="F20" t="s">
        <v>20</v>
      </c>
      <c r="G20" s="9">
        <v>101</v>
      </c>
      <c r="H20" s="10">
        <v>0.16</v>
      </c>
      <c r="I20" s="11">
        <v>31211</v>
      </c>
      <c r="J20" s="11">
        <v>29790</v>
      </c>
      <c r="K20" s="11">
        <v>2647941.2400000002</v>
      </c>
      <c r="L20" s="12">
        <f t="shared" si="0"/>
        <v>-0.13627521432462003</v>
      </c>
      <c r="M20" s="11">
        <v>-360848.76000000018</v>
      </c>
    </row>
    <row r="21" spans="1:13" x14ac:dyDescent="0.35">
      <c r="A21" s="8">
        <v>44870</v>
      </c>
      <c r="B21">
        <v>2022</v>
      </c>
      <c r="C21" t="s">
        <v>31</v>
      </c>
      <c r="D21" t="s">
        <v>14</v>
      </c>
      <c r="E21" t="s">
        <v>27</v>
      </c>
      <c r="F21" t="s">
        <v>20</v>
      </c>
      <c r="G21" s="9">
        <v>107</v>
      </c>
      <c r="H21" s="10">
        <v>0.06</v>
      </c>
      <c r="I21" s="11">
        <v>67752</v>
      </c>
      <c r="J21" s="11">
        <v>28289</v>
      </c>
      <c r="K21" s="11">
        <v>6814496.1599999992</v>
      </c>
      <c r="L21" s="12">
        <f t="shared" si="0"/>
        <v>0.55581118120404072</v>
      </c>
      <c r="M21" s="11">
        <v>3787573.1599999992</v>
      </c>
    </row>
    <row r="22" spans="1:13" x14ac:dyDescent="0.35">
      <c r="A22" s="8">
        <v>44905</v>
      </c>
      <c r="B22">
        <v>2022</v>
      </c>
      <c r="C22" t="s">
        <v>24</v>
      </c>
      <c r="D22" t="s">
        <v>25</v>
      </c>
      <c r="E22" t="s">
        <v>22</v>
      </c>
      <c r="F22" t="s">
        <v>23</v>
      </c>
      <c r="G22" s="9">
        <v>75</v>
      </c>
      <c r="H22" s="10">
        <v>0.23</v>
      </c>
      <c r="I22" s="11">
        <v>61573</v>
      </c>
      <c r="J22" s="11">
        <v>31178</v>
      </c>
      <c r="K22" s="11">
        <v>3555840.75</v>
      </c>
      <c r="L22" s="12">
        <f t="shared" si="0"/>
        <v>0.34239180986943807</v>
      </c>
      <c r="M22" s="11">
        <v>1217490.75</v>
      </c>
    </row>
    <row r="23" spans="1:13" x14ac:dyDescent="0.35">
      <c r="A23" s="8">
        <v>45053</v>
      </c>
      <c r="B23">
        <v>2023</v>
      </c>
      <c r="C23" t="s">
        <v>28</v>
      </c>
      <c r="D23" t="s">
        <v>18</v>
      </c>
      <c r="E23" t="s">
        <v>19</v>
      </c>
      <c r="F23" t="s">
        <v>20</v>
      </c>
      <c r="G23" s="9">
        <v>41</v>
      </c>
      <c r="H23" s="10">
        <v>0.22</v>
      </c>
      <c r="I23" s="11">
        <v>64101</v>
      </c>
      <c r="J23" s="11">
        <v>31710</v>
      </c>
      <c r="K23" s="11">
        <v>2049949.98</v>
      </c>
      <c r="L23" s="12">
        <f t="shared" si="0"/>
        <v>0.36578452514241344</v>
      </c>
      <c r="M23" s="11">
        <v>749839.98</v>
      </c>
    </row>
    <row r="24" spans="1:13" x14ac:dyDescent="0.35">
      <c r="A24" s="8">
        <v>44975</v>
      </c>
      <c r="B24">
        <v>2023</v>
      </c>
      <c r="C24" t="s">
        <v>34</v>
      </c>
      <c r="D24" t="s">
        <v>14</v>
      </c>
      <c r="E24" t="s">
        <v>22</v>
      </c>
      <c r="F24" t="s">
        <v>16</v>
      </c>
      <c r="G24" s="9">
        <v>95</v>
      </c>
      <c r="H24" s="10">
        <v>0.28999999999999998</v>
      </c>
      <c r="I24" s="11">
        <v>42220</v>
      </c>
      <c r="J24" s="11">
        <v>18485</v>
      </c>
      <c r="K24" s="11">
        <v>2847739</v>
      </c>
      <c r="L24" s="12">
        <f t="shared" si="0"/>
        <v>0.38334411966827014</v>
      </c>
      <c r="M24" s="11">
        <v>1091664</v>
      </c>
    </row>
    <row r="25" spans="1:13" x14ac:dyDescent="0.35">
      <c r="A25" s="8">
        <v>44947</v>
      </c>
      <c r="B25">
        <v>2023</v>
      </c>
      <c r="C25" t="s">
        <v>26</v>
      </c>
      <c r="D25" t="s">
        <v>14</v>
      </c>
      <c r="E25" t="s">
        <v>22</v>
      </c>
      <c r="F25" t="s">
        <v>16</v>
      </c>
      <c r="G25" s="9">
        <v>60</v>
      </c>
      <c r="H25" s="10">
        <v>0.04</v>
      </c>
      <c r="I25" s="11">
        <v>31646</v>
      </c>
      <c r="J25" s="11">
        <v>23652</v>
      </c>
      <c r="K25" s="11">
        <v>1822809.6</v>
      </c>
      <c r="L25" s="12">
        <f t="shared" si="0"/>
        <v>0.22146558806800221</v>
      </c>
      <c r="M25" s="11">
        <v>403689.59999999992</v>
      </c>
    </row>
    <row r="26" spans="1:13" x14ac:dyDescent="0.35">
      <c r="A26" s="8">
        <v>44753</v>
      </c>
      <c r="B26">
        <v>2022</v>
      </c>
      <c r="C26" t="s">
        <v>35</v>
      </c>
      <c r="D26" t="s">
        <v>32</v>
      </c>
      <c r="E26" t="s">
        <v>15</v>
      </c>
      <c r="F26" t="s">
        <v>20</v>
      </c>
      <c r="G26" s="9">
        <v>162</v>
      </c>
      <c r="H26" s="10">
        <v>0.11</v>
      </c>
      <c r="I26" s="11">
        <v>43649</v>
      </c>
      <c r="J26" s="11">
        <v>7748</v>
      </c>
      <c r="K26" s="11">
        <v>6293312.8200000003</v>
      </c>
      <c r="L26" s="12">
        <f t="shared" si="0"/>
        <v>0.80055401091598688</v>
      </c>
      <c r="M26" s="11">
        <v>5038136.82</v>
      </c>
    </row>
    <row r="27" spans="1:13" x14ac:dyDescent="0.35">
      <c r="A27" s="8">
        <v>44838</v>
      </c>
      <c r="B27">
        <v>2022</v>
      </c>
      <c r="C27" t="s">
        <v>33</v>
      </c>
      <c r="D27" t="s">
        <v>18</v>
      </c>
      <c r="E27" t="s">
        <v>19</v>
      </c>
      <c r="F27" t="s">
        <v>20</v>
      </c>
      <c r="G27" s="9">
        <v>195</v>
      </c>
      <c r="H27" s="10">
        <v>0.16</v>
      </c>
      <c r="I27" s="11">
        <v>28049</v>
      </c>
      <c r="J27" s="11">
        <v>24233</v>
      </c>
      <c r="K27" s="11">
        <v>4594426.2</v>
      </c>
      <c r="L27" s="12">
        <f t="shared" si="0"/>
        <v>-2.8514725081447558E-2</v>
      </c>
      <c r="M27" s="11">
        <v>-131008.7999999998</v>
      </c>
    </row>
    <row r="28" spans="1:13" x14ac:dyDescent="0.35">
      <c r="A28" s="8">
        <v>44722</v>
      </c>
      <c r="B28">
        <v>2022</v>
      </c>
      <c r="C28" t="s">
        <v>36</v>
      </c>
      <c r="D28" t="s">
        <v>14</v>
      </c>
      <c r="E28" t="s">
        <v>19</v>
      </c>
      <c r="F28" t="s">
        <v>16</v>
      </c>
      <c r="G28" s="9">
        <v>72</v>
      </c>
      <c r="H28" s="10">
        <v>0.22</v>
      </c>
      <c r="I28" s="11">
        <v>19069</v>
      </c>
      <c r="J28" s="11">
        <v>12435</v>
      </c>
      <c r="K28" s="11">
        <v>1070915.04</v>
      </c>
      <c r="L28" s="12">
        <f t="shared" si="0"/>
        <v>0.16396729286760228</v>
      </c>
      <c r="M28" s="11">
        <v>175595.04</v>
      </c>
    </row>
    <row r="29" spans="1:13" x14ac:dyDescent="0.35">
      <c r="A29" s="8">
        <v>45021</v>
      </c>
      <c r="B29">
        <v>2023</v>
      </c>
      <c r="C29" t="s">
        <v>13</v>
      </c>
      <c r="D29" t="s">
        <v>25</v>
      </c>
      <c r="E29" t="s">
        <v>15</v>
      </c>
      <c r="F29" t="s">
        <v>16</v>
      </c>
      <c r="G29" s="9">
        <v>199</v>
      </c>
      <c r="H29" s="10">
        <v>0.12</v>
      </c>
      <c r="I29" s="11">
        <v>37580</v>
      </c>
      <c r="J29" s="11">
        <v>6709</v>
      </c>
      <c r="K29" s="11">
        <v>6581009.5999999996</v>
      </c>
      <c r="L29" s="12">
        <f t="shared" si="0"/>
        <v>0.79712975954327736</v>
      </c>
      <c r="M29" s="11">
        <v>5245918.5999999996</v>
      </c>
    </row>
    <row r="30" spans="1:13" x14ac:dyDescent="0.35">
      <c r="A30" s="8">
        <v>44875</v>
      </c>
      <c r="B30">
        <v>2022</v>
      </c>
      <c r="C30" t="s">
        <v>31</v>
      </c>
      <c r="D30" t="s">
        <v>25</v>
      </c>
      <c r="E30" t="s">
        <v>27</v>
      </c>
      <c r="F30" t="s">
        <v>23</v>
      </c>
      <c r="G30" s="9">
        <v>134</v>
      </c>
      <c r="H30" s="10">
        <v>0.22</v>
      </c>
      <c r="I30" s="11">
        <v>36843</v>
      </c>
      <c r="J30" s="11">
        <v>33355</v>
      </c>
      <c r="K30" s="11">
        <v>3850830.36</v>
      </c>
      <c r="L30" s="12">
        <f t="shared" si="0"/>
        <v>-0.16067694033657709</v>
      </c>
      <c r="M30" s="11">
        <v>-618739.63999999966</v>
      </c>
    </row>
    <row r="31" spans="1:13" x14ac:dyDescent="0.35">
      <c r="A31" s="8">
        <v>44583</v>
      </c>
      <c r="B31">
        <v>2022</v>
      </c>
      <c r="C31" t="s">
        <v>26</v>
      </c>
      <c r="D31" t="s">
        <v>32</v>
      </c>
      <c r="E31" t="s">
        <v>22</v>
      </c>
      <c r="F31" t="s">
        <v>16</v>
      </c>
      <c r="G31" s="9">
        <v>159</v>
      </c>
      <c r="H31" s="10">
        <v>0.24</v>
      </c>
      <c r="I31" s="11">
        <v>7849</v>
      </c>
      <c r="J31" s="11">
        <v>16116</v>
      </c>
      <c r="K31" s="11">
        <v>948473.16</v>
      </c>
      <c r="L31" s="12">
        <f t="shared" si="0"/>
        <v>-1.701651568084436</v>
      </c>
      <c r="M31" s="11">
        <v>-1613970.84</v>
      </c>
    </row>
    <row r="32" spans="1:13" x14ac:dyDescent="0.35">
      <c r="A32" s="8">
        <v>44814</v>
      </c>
      <c r="B32">
        <v>2022</v>
      </c>
      <c r="C32" t="s">
        <v>21</v>
      </c>
      <c r="D32" t="s">
        <v>14</v>
      </c>
      <c r="E32" t="s">
        <v>29</v>
      </c>
      <c r="F32" t="s">
        <v>23</v>
      </c>
      <c r="G32" s="9">
        <v>67</v>
      </c>
      <c r="H32" s="10">
        <v>0.02</v>
      </c>
      <c r="I32" s="11">
        <v>65595</v>
      </c>
      <c r="J32" s="11">
        <v>28470</v>
      </c>
      <c r="K32" s="11">
        <v>4306967.7</v>
      </c>
      <c r="L32" s="12">
        <f t="shared" si="0"/>
        <v>0.55711532268978936</v>
      </c>
      <c r="M32" s="11">
        <v>2399477.7000000002</v>
      </c>
    </row>
    <row r="33" spans="1:13" x14ac:dyDescent="0.35">
      <c r="A33" s="8">
        <v>45122</v>
      </c>
      <c r="B33">
        <v>2023</v>
      </c>
      <c r="C33" t="s">
        <v>35</v>
      </c>
      <c r="D33" t="s">
        <v>18</v>
      </c>
      <c r="E33" t="s">
        <v>22</v>
      </c>
      <c r="F33" t="s">
        <v>23</v>
      </c>
      <c r="G33" s="9">
        <v>67</v>
      </c>
      <c r="H33" s="10">
        <v>0.08</v>
      </c>
      <c r="I33" s="11">
        <v>45158</v>
      </c>
      <c r="J33" s="11">
        <v>17683</v>
      </c>
      <c r="K33" s="11">
        <v>2783539.12</v>
      </c>
      <c r="L33" s="12">
        <f t="shared" si="0"/>
        <v>0.57436883444986397</v>
      </c>
      <c r="M33" s="11">
        <v>1598778.12</v>
      </c>
    </row>
    <row r="34" spans="1:13" x14ac:dyDescent="0.35">
      <c r="A34" s="8">
        <v>45036</v>
      </c>
      <c r="B34">
        <v>2023</v>
      </c>
      <c r="C34" t="s">
        <v>13</v>
      </c>
      <c r="D34" t="s">
        <v>25</v>
      </c>
      <c r="E34" t="s">
        <v>22</v>
      </c>
      <c r="F34" t="s">
        <v>23</v>
      </c>
      <c r="G34" s="9">
        <v>95</v>
      </c>
      <c r="H34" s="10">
        <v>0.28999999999999998</v>
      </c>
      <c r="I34" s="11">
        <v>28289</v>
      </c>
      <c r="J34" s="11">
        <v>3504</v>
      </c>
      <c r="K34" s="11">
        <v>1908093.05</v>
      </c>
      <c r="L34" s="12">
        <f t="shared" si="0"/>
        <v>0.8255430991690893</v>
      </c>
      <c r="M34" s="11">
        <v>1575213.05</v>
      </c>
    </row>
    <row r="35" spans="1:13" x14ac:dyDescent="0.35">
      <c r="A35" s="8">
        <v>44620</v>
      </c>
      <c r="B35">
        <v>2022</v>
      </c>
      <c r="C35" t="s">
        <v>34</v>
      </c>
      <c r="D35" t="s">
        <v>14</v>
      </c>
      <c r="E35" t="s">
        <v>27</v>
      </c>
      <c r="F35" t="s">
        <v>23</v>
      </c>
      <c r="G35" s="9">
        <v>58</v>
      </c>
      <c r="H35" s="10">
        <v>0.16</v>
      </c>
      <c r="I35" s="11">
        <v>49690</v>
      </c>
      <c r="J35" s="11">
        <v>36982</v>
      </c>
      <c r="K35" s="11">
        <v>2420896.7999999998</v>
      </c>
      <c r="L35" s="12">
        <f t="shared" si="0"/>
        <v>0.11398288435921755</v>
      </c>
      <c r="M35" s="11">
        <v>275940.79999999981</v>
      </c>
    </row>
    <row r="36" spans="1:13" x14ac:dyDescent="0.35">
      <c r="A36" s="8">
        <v>45072</v>
      </c>
      <c r="B36">
        <v>2023</v>
      </c>
      <c r="C36" t="s">
        <v>28</v>
      </c>
      <c r="D36" t="s">
        <v>14</v>
      </c>
      <c r="E36" t="s">
        <v>22</v>
      </c>
      <c r="F36" t="s">
        <v>23</v>
      </c>
      <c r="G36" s="9">
        <v>189</v>
      </c>
      <c r="H36" s="10">
        <v>0.16</v>
      </c>
      <c r="I36" s="11">
        <v>40257</v>
      </c>
      <c r="J36" s="11">
        <v>37299</v>
      </c>
      <c r="K36" s="11">
        <v>6391201.3199999994</v>
      </c>
      <c r="L36" s="12">
        <f t="shared" si="0"/>
        <v>-0.10300249468592873</v>
      </c>
      <c r="M36" s="11">
        <v>-658309.68000000063</v>
      </c>
    </row>
    <row r="37" spans="1:13" x14ac:dyDescent="0.35">
      <c r="A37" s="8">
        <v>45243</v>
      </c>
      <c r="B37">
        <v>2023</v>
      </c>
      <c r="C37" t="s">
        <v>31</v>
      </c>
      <c r="D37" t="s">
        <v>32</v>
      </c>
      <c r="E37" t="s">
        <v>15</v>
      </c>
      <c r="F37" t="s">
        <v>20</v>
      </c>
      <c r="G37" s="9">
        <v>179</v>
      </c>
      <c r="H37" s="10">
        <v>0.28999999999999998</v>
      </c>
      <c r="I37" s="11">
        <v>14823</v>
      </c>
      <c r="J37" s="11">
        <v>31016</v>
      </c>
      <c r="K37" s="11">
        <v>1883855.07</v>
      </c>
      <c r="L37" s="12">
        <f t="shared" si="0"/>
        <v>-1.9470759658809635</v>
      </c>
      <c r="M37" s="11">
        <v>-3668008.93</v>
      </c>
    </row>
    <row r="38" spans="1:13" x14ac:dyDescent="0.35">
      <c r="A38" s="8">
        <v>45037</v>
      </c>
      <c r="B38">
        <v>2023</v>
      </c>
      <c r="C38" t="s">
        <v>13</v>
      </c>
      <c r="D38" t="s">
        <v>25</v>
      </c>
      <c r="E38" t="s">
        <v>15</v>
      </c>
      <c r="F38" t="s">
        <v>16</v>
      </c>
      <c r="G38" s="9">
        <v>79</v>
      </c>
      <c r="H38" s="10">
        <v>0.19</v>
      </c>
      <c r="I38" s="11">
        <v>65160</v>
      </c>
      <c r="J38" s="11">
        <v>26960</v>
      </c>
      <c r="K38" s="11">
        <v>4169588.4</v>
      </c>
      <c r="L38" s="12">
        <f t="shared" si="0"/>
        <v>0.4891965835284845</v>
      </c>
      <c r="M38" s="11">
        <v>2039748.4</v>
      </c>
    </row>
    <row r="39" spans="1:13" x14ac:dyDescent="0.35">
      <c r="A39" s="8">
        <v>45261</v>
      </c>
      <c r="B39">
        <v>2023</v>
      </c>
      <c r="C39" t="s">
        <v>24</v>
      </c>
      <c r="D39" t="s">
        <v>25</v>
      </c>
      <c r="E39" t="s">
        <v>19</v>
      </c>
      <c r="F39" t="s">
        <v>23</v>
      </c>
      <c r="G39" s="9">
        <v>24</v>
      </c>
      <c r="H39" s="10">
        <v>0.15</v>
      </c>
      <c r="I39" s="11">
        <v>46975</v>
      </c>
      <c r="J39" s="11">
        <v>36591</v>
      </c>
      <c r="K39" s="11">
        <v>958290</v>
      </c>
      <c r="L39" s="12">
        <f t="shared" si="0"/>
        <v>8.3592649406755787E-2</v>
      </c>
      <c r="M39" s="11">
        <v>80106</v>
      </c>
    </row>
    <row r="40" spans="1:13" x14ac:dyDescent="0.35">
      <c r="A40" s="8">
        <v>44751</v>
      </c>
      <c r="B40">
        <v>2022</v>
      </c>
      <c r="C40" t="s">
        <v>35</v>
      </c>
      <c r="D40" t="s">
        <v>18</v>
      </c>
      <c r="E40" t="s">
        <v>29</v>
      </c>
      <c r="F40" t="s">
        <v>16</v>
      </c>
      <c r="G40" s="9">
        <v>63</v>
      </c>
      <c r="H40" s="10">
        <v>0.24</v>
      </c>
      <c r="I40" s="11">
        <v>14540</v>
      </c>
      <c r="J40" s="11">
        <v>20312</v>
      </c>
      <c r="K40" s="11">
        <v>696175.2</v>
      </c>
      <c r="L40" s="12">
        <f t="shared" si="0"/>
        <v>-0.83812350684138148</v>
      </c>
      <c r="M40" s="11">
        <v>-583480.80000000005</v>
      </c>
    </row>
    <row r="41" spans="1:13" x14ac:dyDescent="0.35">
      <c r="A41" s="8">
        <v>45248</v>
      </c>
      <c r="B41">
        <v>2023</v>
      </c>
      <c r="C41" t="s">
        <v>31</v>
      </c>
      <c r="D41" t="s">
        <v>25</v>
      </c>
      <c r="E41" t="s">
        <v>22</v>
      </c>
      <c r="F41" t="s">
        <v>16</v>
      </c>
      <c r="G41" s="9">
        <v>197</v>
      </c>
      <c r="H41" s="10">
        <v>0.21</v>
      </c>
      <c r="I41" s="11">
        <v>21364</v>
      </c>
      <c r="J41" s="11">
        <v>5105</v>
      </c>
      <c r="K41" s="11">
        <v>3324879.32</v>
      </c>
      <c r="L41" s="12">
        <f t="shared" si="0"/>
        <v>0.6975273677000704</v>
      </c>
      <c r="M41" s="11">
        <v>2319194.3199999998</v>
      </c>
    </row>
    <row r="42" spans="1:13" x14ac:dyDescent="0.35">
      <c r="A42" s="8">
        <v>45124</v>
      </c>
      <c r="B42">
        <v>2023</v>
      </c>
      <c r="C42" t="s">
        <v>35</v>
      </c>
      <c r="D42" t="s">
        <v>18</v>
      </c>
      <c r="E42" t="s">
        <v>22</v>
      </c>
      <c r="F42" t="s">
        <v>23</v>
      </c>
      <c r="G42" s="9">
        <v>110</v>
      </c>
      <c r="H42" s="10">
        <v>0.12</v>
      </c>
      <c r="I42" s="11">
        <v>9611</v>
      </c>
      <c r="J42" s="11">
        <v>39395</v>
      </c>
      <c r="K42" s="11">
        <v>930344.8</v>
      </c>
      <c r="L42" s="12">
        <f t="shared" si="0"/>
        <v>-3.6578967281807779</v>
      </c>
      <c r="M42" s="11">
        <v>-3403105.2</v>
      </c>
    </row>
    <row r="43" spans="1:13" x14ac:dyDescent="0.35">
      <c r="A43" s="8">
        <v>45128</v>
      </c>
      <c r="B43">
        <v>2023</v>
      </c>
      <c r="C43" t="s">
        <v>35</v>
      </c>
      <c r="D43" t="s">
        <v>25</v>
      </c>
      <c r="E43" t="s">
        <v>27</v>
      </c>
      <c r="F43" t="s">
        <v>20</v>
      </c>
      <c r="G43" s="9">
        <v>17</v>
      </c>
      <c r="H43" s="10">
        <v>0.26</v>
      </c>
      <c r="I43" s="11">
        <v>32663</v>
      </c>
      <c r="J43" s="11">
        <v>25700</v>
      </c>
      <c r="K43" s="11">
        <v>410900.54</v>
      </c>
      <c r="L43" s="12">
        <f t="shared" si="0"/>
        <v>-6.3274338846086756E-2</v>
      </c>
      <c r="M43" s="11">
        <v>-25999.460000000021</v>
      </c>
    </row>
    <row r="44" spans="1:13" x14ac:dyDescent="0.35">
      <c r="A44" s="8">
        <v>44805</v>
      </c>
      <c r="B44">
        <v>2022</v>
      </c>
      <c r="C44" t="s">
        <v>21</v>
      </c>
      <c r="D44" t="s">
        <v>32</v>
      </c>
      <c r="E44" t="s">
        <v>15</v>
      </c>
      <c r="F44" t="s">
        <v>23</v>
      </c>
      <c r="G44" s="9">
        <v>62</v>
      </c>
      <c r="H44" s="10">
        <v>0.18</v>
      </c>
      <c r="I44" s="11">
        <v>56991</v>
      </c>
      <c r="J44" s="11">
        <v>37620</v>
      </c>
      <c r="K44" s="11">
        <v>2897422.44</v>
      </c>
      <c r="L44" s="12">
        <f t="shared" si="0"/>
        <v>0.19499484514242957</v>
      </c>
      <c r="M44" s="11">
        <v>564982.44000000041</v>
      </c>
    </row>
    <row r="45" spans="1:13" x14ac:dyDescent="0.35">
      <c r="A45" s="8">
        <v>45066</v>
      </c>
      <c r="B45">
        <v>2023</v>
      </c>
      <c r="C45" t="s">
        <v>28</v>
      </c>
      <c r="D45" t="s">
        <v>25</v>
      </c>
      <c r="E45" t="s">
        <v>29</v>
      </c>
      <c r="F45" t="s">
        <v>20</v>
      </c>
      <c r="G45" s="9">
        <v>69</v>
      </c>
      <c r="H45" s="10">
        <v>0.16</v>
      </c>
      <c r="I45" s="11">
        <v>62679</v>
      </c>
      <c r="J45" s="11">
        <v>23559</v>
      </c>
      <c r="K45" s="11">
        <v>3632874.84</v>
      </c>
      <c r="L45" s="12">
        <f t="shared" si="0"/>
        <v>0.55253867210024776</v>
      </c>
      <c r="M45" s="11">
        <v>2007303.84</v>
      </c>
    </row>
    <row r="46" spans="1:13" x14ac:dyDescent="0.35">
      <c r="A46" s="8">
        <v>44692</v>
      </c>
      <c r="B46">
        <v>2022</v>
      </c>
      <c r="C46" t="s">
        <v>28</v>
      </c>
      <c r="D46" t="s">
        <v>18</v>
      </c>
      <c r="E46" t="s">
        <v>19</v>
      </c>
      <c r="F46" t="s">
        <v>16</v>
      </c>
      <c r="G46" s="9">
        <v>117</v>
      </c>
      <c r="H46" s="10">
        <v>0.03</v>
      </c>
      <c r="I46" s="11">
        <v>43646</v>
      </c>
      <c r="J46" s="11">
        <v>30509</v>
      </c>
      <c r="K46" s="11">
        <v>4953384.54</v>
      </c>
      <c r="L46" s="12">
        <f t="shared" si="0"/>
        <v>0.2793709086837825</v>
      </c>
      <c r="M46" s="11">
        <v>1383831.54</v>
      </c>
    </row>
    <row r="47" spans="1:13" x14ac:dyDescent="0.35">
      <c r="A47" s="8">
        <v>45046</v>
      </c>
      <c r="B47">
        <v>2023</v>
      </c>
      <c r="C47" t="s">
        <v>13</v>
      </c>
      <c r="D47" t="s">
        <v>18</v>
      </c>
      <c r="E47" t="s">
        <v>15</v>
      </c>
      <c r="F47" t="s">
        <v>20</v>
      </c>
      <c r="G47" s="9">
        <v>14</v>
      </c>
      <c r="H47" s="10">
        <v>0.11</v>
      </c>
      <c r="I47" s="11">
        <v>35977</v>
      </c>
      <c r="J47" s="11">
        <v>30860</v>
      </c>
      <c r="K47" s="11">
        <v>448273.42</v>
      </c>
      <c r="L47" s="12">
        <f t="shared" si="0"/>
        <v>3.6213211124585483E-2</v>
      </c>
      <c r="M47" s="11">
        <v>16233.41999999998</v>
      </c>
    </row>
    <row r="48" spans="1:13" x14ac:dyDescent="0.35">
      <c r="A48" s="8">
        <v>45208</v>
      </c>
      <c r="B48">
        <v>2023</v>
      </c>
      <c r="C48" t="s">
        <v>33</v>
      </c>
      <c r="D48" t="s">
        <v>32</v>
      </c>
      <c r="E48" t="s">
        <v>19</v>
      </c>
      <c r="F48" t="s">
        <v>20</v>
      </c>
      <c r="G48" s="9">
        <v>112</v>
      </c>
      <c r="H48" s="10">
        <v>0.28000000000000003</v>
      </c>
      <c r="I48" s="11">
        <v>34168</v>
      </c>
      <c r="J48" s="11">
        <v>14003</v>
      </c>
      <c r="K48" s="11">
        <v>2755307.52</v>
      </c>
      <c r="L48" s="12">
        <f t="shared" si="0"/>
        <v>0.43079457061838239</v>
      </c>
      <c r="M48" s="11">
        <v>1186971.52</v>
      </c>
    </row>
    <row r="49" spans="1:13" x14ac:dyDescent="0.35">
      <c r="A49" s="8">
        <v>44582</v>
      </c>
      <c r="B49">
        <v>2022</v>
      </c>
      <c r="C49" t="s">
        <v>26</v>
      </c>
      <c r="D49" t="s">
        <v>25</v>
      </c>
      <c r="E49" t="s">
        <v>27</v>
      </c>
      <c r="F49" t="s">
        <v>20</v>
      </c>
      <c r="G49" s="9">
        <v>15</v>
      </c>
      <c r="H49" s="10">
        <v>0.08</v>
      </c>
      <c r="I49" s="11">
        <v>54115</v>
      </c>
      <c r="J49" s="11">
        <v>24732</v>
      </c>
      <c r="K49" s="11">
        <v>746787</v>
      </c>
      <c r="L49" s="12">
        <f t="shared" si="0"/>
        <v>0.50323184522494369</v>
      </c>
      <c r="M49" s="11">
        <v>375807</v>
      </c>
    </row>
    <row r="50" spans="1:13" x14ac:dyDescent="0.35">
      <c r="A50" s="8">
        <v>44728</v>
      </c>
      <c r="B50">
        <v>2022</v>
      </c>
      <c r="C50" t="s">
        <v>36</v>
      </c>
      <c r="D50" t="s">
        <v>25</v>
      </c>
      <c r="E50" t="s">
        <v>27</v>
      </c>
      <c r="F50" t="s">
        <v>16</v>
      </c>
      <c r="G50" s="9">
        <v>118</v>
      </c>
      <c r="H50" s="10">
        <v>0.18</v>
      </c>
      <c r="I50" s="11">
        <v>30471</v>
      </c>
      <c r="J50" s="11">
        <v>28826</v>
      </c>
      <c r="K50" s="11">
        <v>2948373.96</v>
      </c>
      <c r="L50" s="12">
        <f t="shared" si="0"/>
        <v>-0.15367590615947496</v>
      </c>
      <c r="M50" s="11">
        <v>-453094.03999999957</v>
      </c>
    </row>
    <row r="51" spans="1:13" x14ac:dyDescent="0.35">
      <c r="A51" s="8">
        <v>44835</v>
      </c>
      <c r="B51">
        <v>2022</v>
      </c>
      <c r="C51" t="s">
        <v>33</v>
      </c>
      <c r="D51" t="s">
        <v>32</v>
      </c>
      <c r="E51" t="s">
        <v>22</v>
      </c>
      <c r="F51" t="s">
        <v>16</v>
      </c>
      <c r="G51" s="9">
        <v>125</v>
      </c>
      <c r="H51" s="10">
        <v>0.11</v>
      </c>
      <c r="I51" s="11">
        <v>27687</v>
      </c>
      <c r="J51" s="11">
        <v>33354</v>
      </c>
      <c r="K51" s="11">
        <v>3080178.75</v>
      </c>
      <c r="L51" s="12">
        <f t="shared" si="0"/>
        <v>-0.35357404176624491</v>
      </c>
      <c r="M51" s="11">
        <v>-1089071.25</v>
      </c>
    </row>
    <row r="52" spans="1:13" x14ac:dyDescent="0.35">
      <c r="A52" s="8">
        <v>44949</v>
      </c>
      <c r="B52">
        <v>2023</v>
      </c>
      <c r="C52" t="s">
        <v>26</v>
      </c>
      <c r="D52" t="s">
        <v>25</v>
      </c>
      <c r="E52" t="s">
        <v>29</v>
      </c>
      <c r="F52" t="s">
        <v>20</v>
      </c>
      <c r="G52" s="9">
        <v>103</v>
      </c>
      <c r="H52" s="10">
        <v>0.08</v>
      </c>
      <c r="I52" s="11">
        <v>65890</v>
      </c>
      <c r="J52" s="11">
        <v>16843</v>
      </c>
      <c r="K52" s="11">
        <v>6243736.4000000004</v>
      </c>
      <c r="L52" s="12">
        <f t="shared" si="0"/>
        <v>0.72214890430031609</v>
      </c>
      <c r="M52" s="11">
        <v>4508907.4000000004</v>
      </c>
    </row>
    <row r="53" spans="1:13" x14ac:dyDescent="0.35">
      <c r="A53" s="8">
        <v>45162</v>
      </c>
      <c r="B53">
        <v>2023</v>
      </c>
      <c r="C53" t="s">
        <v>30</v>
      </c>
      <c r="D53" t="s">
        <v>25</v>
      </c>
      <c r="E53" t="s">
        <v>19</v>
      </c>
      <c r="F53" t="s">
        <v>20</v>
      </c>
      <c r="G53" s="9">
        <v>56</v>
      </c>
      <c r="H53" s="10">
        <v>0.06</v>
      </c>
      <c r="I53" s="11">
        <v>5851</v>
      </c>
      <c r="J53" s="11">
        <v>9190</v>
      </c>
      <c r="K53" s="11">
        <v>307996.64</v>
      </c>
      <c r="L53" s="12">
        <f t="shared" si="0"/>
        <v>-0.67092731920711857</v>
      </c>
      <c r="M53" s="11">
        <v>-206643.36</v>
      </c>
    </row>
    <row r="54" spans="1:13" x14ac:dyDescent="0.35">
      <c r="A54" s="8">
        <v>44877</v>
      </c>
      <c r="B54">
        <v>2022</v>
      </c>
      <c r="C54" t="s">
        <v>31</v>
      </c>
      <c r="D54" t="s">
        <v>18</v>
      </c>
      <c r="E54" t="s">
        <v>15</v>
      </c>
      <c r="F54" t="s">
        <v>23</v>
      </c>
      <c r="G54" s="9">
        <v>108</v>
      </c>
      <c r="H54" s="10">
        <v>0.27</v>
      </c>
      <c r="I54" s="11">
        <v>23071</v>
      </c>
      <c r="J54" s="11">
        <v>20640</v>
      </c>
      <c r="K54" s="11">
        <v>1818917.64</v>
      </c>
      <c r="L54" s="12">
        <f t="shared" si="0"/>
        <v>-0.22552002959298373</v>
      </c>
      <c r="M54" s="11">
        <v>-410202.3600000001</v>
      </c>
    </row>
    <row r="55" spans="1:13" x14ac:dyDescent="0.35">
      <c r="A55" s="8">
        <v>44575</v>
      </c>
      <c r="B55">
        <v>2022</v>
      </c>
      <c r="C55" t="s">
        <v>26</v>
      </c>
      <c r="D55" t="s">
        <v>25</v>
      </c>
      <c r="E55" t="s">
        <v>27</v>
      </c>
      <c r="F55" t="s">
        <v>20</v>
      </c>
      <c r="G55" s="9">
        <v>64</v>
      </c>
      <c r="H55" s="10">
        <v>0.13</v>
      </c>
      <c r="I55" s="11">
        <v>64275</v>
      </c>
      <c r="J55" s="11">
        <v>6330</v>
      </c>
      <c r="K55" s="11">
        <v>3578832</v>
      </c>
      <c r="L55" s="12">
        <f t="shared" si="0"/>
        <v>0.88680105688112765</v>
      </c>
      <c r="M55" s="11">
        <v>3173712</v>
      </c>
    </row>
    <row r="56" spans="1:13" x14ac:dyDescent="0.35">
      <c r="A56" s="8">
        <v>44803</v>
      </c>
      <c r="B56">
        <v>2022</v>
      </c>
      <c r="C56" t="s">
        <v>30</v>
      </c>
      <c r="D56" t="s">
        <v>25</v>
      </c>
      <c r="E56" t="s">
        <v>22</v>
      </c>
      <c r="F56" t="s">
        <v>23</v>
      </c>
      <c r="G56" s="9">
        <v>177</v>
      </c>
      <c r="H56" s="10">
        <v>0.19</v>
      </c>
      <c r="I56" s="11">
        <v>11833</v>
      </c>
      <c r="J56" s="11">
        <v>22087</v>
      </c>
      <c r="K56" s="11">
        <v>1696497.21</v>
      </c>
      <c r="L56" s="12">
        <f t="shared" si="0"/>
        <v>-1.3043945943182542</v>
      </c>
      <c r="M56" s="11">
        <v>-2212901.79</v>
      </c>
    </row>
    <row r="57" spans="1:13" x14ac:dyDescent="0.35">
      <c r="A57" s="8">
        <v>44907</v>
      </c>
      <c r="B57">
        <v>2022</v>
      </c>
      <c r="C57" t="s">
        <v>24</v>
      </c>
      <c r="D57" t="s">
        <v>32</v>
      </c>
      <c r="E57" t="s">
        <v>22</v>
      </c>
      <c r="F57" t="s">
        <v>20</v>
      </c>
      <c r="G57" s="9">
        <v>61</v>
      </c>
      <c r="H57" s="10">
        <v>0.18</v>
      </c>
      <c r="I57" s="11">
        <v>16938</v>
      </c>
      <c r="J57" s="11">
        <v>27504</v>
      </c>
      <c r="K57" s="11">
        <v>847238.76</v>
      </c>
      <c r="L57" s="12">
        <f t="shared" si="0"/>
        <v>-0.98024934553277521</v>
      </c>
      <c r="M57" s="11">
        <v>-830505.24</v>
      </c>
    </row>
    <row r="58" spans="1:13" x14ac:dyDescent="0.35">
      <c r="A58" s="8">
        <v>45126</v>
      </c>
      <c r="B58">
        <v>2023</v>
      </c>
      <c r="C58" t="s">
        <v>35</v>
      </c>
      <c r="D58" t="s">
        <v>32</v>
      </c>
      <c r="E58" t="s">
        <v>19</v>
      </c>
      <c r="F58" t="s">
        <v>23</v>
      </c>
      <c r="G58" s="9">
        <v>153</v>
      </c>
      <c r="H58" s="10">
        <v>0.25</v>
      </c>
      <c r="I58" s="11">
        <v>40195</v>
      </c>
      <c r="J58" s="11">
        <v>10114</v>
      </c>
      <c r="K58" s="11">
        <v>4612376.25</v>
      </c>
      <c r="L58" s="12">
        <f t="shared" si="0"/>
        <v>0.66450221835219969</v>
      </c>
      <c r="M58" s="11">
        <v>3064934.25</v>
      </c>
    </row>
    <row r="59" spans="1:13" x14ac:dyDescent="0.35">
      <c r="A59" s="8">
        <v>44901</v>
      </c>
      <c r="B59">
        <v>2022</v>
      </c>
      <c r="C59" t="s">
        <v>24</v>
      </c>
      <c r="D59" t="s">
        <v>14</v>
      </c>
      <c r="E59" t="s">
        <v>27</v>
      </c>
      <c r="F59" t="s">
        <v>16</v>
      </c>
      <c r="G59" s="9">
        <v>22</v>
      </c>
      <c r="H59" s="10">
        <v>0.14000000000000001</v>
      </c>
      <c r="I59" s="11">
        <v>31144</v>
      </c>
      <c r="J59" s="11">
        <v>16323</v>
      </c>
      <c r="K59" s="11">
        <v>589244.48</v>
      </c>
      <c r="L59" s="12">
        <f t="shared" si="0"/>
        <v>0.39056535582649837</v>
      </c>
      <c r="M59" s="11">
        <v>230138.48</v>
      </c>
    </row>
    <row r="60" spans="1:13" x14ac:dyDescent="0.35">
      <c r="A60" s="8">
        <v>44653</v>
      </c>
      <c r="B60">
        <v>2022</v>
      </c>
      <c r="C60" t="s">
        <v>13</v>
      </c>
      <c r="D60" t="s">
        <v>18</v>
      </c>
      <c r="E60" t="s">
        <v>29</v>
      </c>
      <c r="F60" t="s">
        <v>20</v>
      </c>
      <c r="G60" s="9">
        <v>123</v>
      </c>
      <c r="H60" s="10">
        <v>0.15</v>
      </c>
      <c r="I60" s="11">
        <v>9000</v>
      </c>
      <c r="J60" s="11">
        <v>37121</v>
      </c>
      <c r="K60" s="11">
        <v>940950</v>
      </c>
      <c r="L60" s="12">
        <f t="shared" si="0"/>
        <v>-3.8524183006535946</v>
      </c>
      <c r="M60" s="11">
        <v>-3624933</v>
      </c>
    </row>
    <row r="61" spans="1:13" x14ac:dyDescent="0.35">
      <c r="A61" s="8">
        <v>44928</v>
      </c>
      <c r="B61">
        <v>2023</v>
      </c>
      <c r="C61" t="s">
        <v>26</v>
      </c>
      <c r="D61" t="s">
        <v>25</v>
      </c>
      <c r="E61" t="s">
        <v>27</v>
      </c>
      <c r="F61" t="s">
        <v>20</v>
      </c>
      <c r="G61" s="9">
        <v>133</v>
      </c>
      <c r="H61" s="10">
        <v>0.2</v>
      </c>
      <c r="I61" s="11">
        <v>10052</v>
      </c>
      <c r="J61" s="11">
        <v>13975</v>
      </c>
      <c r="K61" s="11">
        <v>1069532.8</v>
      </c>
      <c r="L61" s="12">
        <f t="shared" si="0"/>
        <v>-0.73783824114604046</v>
      </c>
      <c r="M61" s="11">
        <v>-789142.2</v>
      </c>
    </row>
    <row r="62" spans="1:13" x14ac:dyDescent="0.35">
      <c r="A62" s="8">
        <v>45016</v>
      </c>
      <c r="B62">
        <v>2023</v>
      </c>
      <c r="C62" t="s">
        <v>17</v>
      </c>
      <c r="D62" t="s">
        <v>25</v>
      </c>
      <c r="E62" t="s">
        <v>19</v>
      </c>
      <c r="F62" t="s">
        <v>20</v>
      </c>
      <c r="G62" s="9">
        <v>115</v>
      </c>
      <c r="H62" s="10">
        <v>0.04</v>
      </c>
      <c r="I62" s="11">
        <v>40506</v>
      </c>
      <c r="J62" s="11">
        <v>14023</v>
      </c>
      <c r="K62" s="11">
        <v>4471862.3999999994</v>
      </c>
      <c r="L62" s="12">
        <f t="shared" si="0"/>
        <v>0.63937955693806658</v>
      </c>
      <c r="M62" s="11">
        <v>2859217.399999999</v>
      </c>
    </row>
    <row r="63" spans="1:13" x14ac:dyDescent="0.35">
      <c r="A63" s="8">
        <v>44989</v>
      </c>
      <c r="B63">
        <v>2023</v>
      </c>
      <c r="C63" t="s">
        <v>17</v>
      </c>
      <c r="D63" t="s">
        <v>14</v>
      </c>
      <c r="E63" t="s">
        <v>19</v>
      </c>
      <c r="F63" t="s">
        <v>20</v>
      </c>
      <c r="G63" s="9">
        <v>167</v>
      </c>
      <c r="H63" s="10">
        <v>0.02</v>
      </c>
      <c r="I63" s="11">
        <v>33074</v>
      </c>
      <c r="J63" s="11">
        <v>24447</v>
      </c>
      <c r="K63" s="11">
        <v>5412890.8399999999</v>
      </c>
      <c r="L63" s="12">
        <f t="shared" si="0"/>
        <v>0.24575441835438899</v>
      </c>
      <c r="M63" s="11">
        <v>1330241.8400000001</v>
      </c>
    </row>
    <row r="64" spans="1:13" x14ac:dyDescent="0.35">
      <c r="A64" s="8">
        <v>45070</v>
      </c>
      <c r="B64">
        <v>2023</v>
      </c>
      <c r="C64" t="s">
        <v>28</v>
      </c>
      <c r="D64" t="s">
        <v>25</v>
      </c>
      <c r="E64" t="s">
        <v>27</v>
      </c>
      <c r="F64" t="s">
        <v>23</v>
      </c>
      <c r="G64" s="9">
        <v>156</v>
      </c>
      <c r="H64" s="10">
        <v>0.11</v>
      </c>
      <c r="I64" s="11">
        <v>59884</v>
      </c>
      <c r="J64" s="11">
        <v>27933</v>
      </c>
      <c r="K64" s="11">
        <v>8314294.5600000015</v>
      </c>
      <c r="L64" s="12">
        <f t="shared" si="0"/>
        <v>0.47589684626232442</v>
      </c>
      <c r="M64" s="11">
        <v>3956746.560000001</v>
      </c>
    </row>
    <row r="65" spans="1:13" x14ac:dyDescent="0.35">
      <c r="A65" s="8">
        <v>44596</v>
      </c>
      <c r="B65">
        <v>2022</v>
      </c>
      <c r="C65" t="s">
        <v>34</v>
      </c>
      <c r="D65" t="s">
        <v>18</v>
      </c>
      <c r="E65" t="s">
        <v>19</v>
      </c>
      <c r="F65" t="s">
        <v>20</v>
      </c>
      <c r="G65" s="9">
        <v>154</v>
      </c>
      <c r="H65" s="10">
        <v>0.24</v>
      </c>
      <c r="I65" s="11">
        <v>43155</v>
      </c>
      <c r="J65" s="11">
        <v>26959</v>
      </c>
      <c r="K65" s="11">
        <v>5050861.2</v>
      </c>
      <c r="L65" s="12">
        <f t="shared" si="0"/>
        <v>0.17802413576520379</v>
      </c>
      <c r="M65" s="11">
        <v>899175.20000000019</v>
      </c>
    </row>
    <row r="66" spans="1:13" x14ac:dyDescent="0.35">
      <c r="A66" s="8">
        <v>44767</v>
      </c>
      <c r="B66">
        <v>2022</v>
      </c>
      <c r="C66" t="s">
        <v>35</v>
      </c>
      <c r="D66" t="s">
        <v>14</v>
      </c>
      <c r="E66" t="s">
        <v>27</v>
      </c>
      <c r="F66" t="s">
        <v>16</v>
      </c>
      <c r="G66" s="9">
        <v>129</v>
      </c>
      <c r="H66" s="10">
        <v>0.19</v>
      </c>
      <c r="I66" s="11">
        <v>45770</v>
      </c>
      <c r="J66" s="11">
        <v>3667</v>
      </c>
      <c r="K66" s="11">
        <v>4782507.3000000007</v>
      </c>
      <c r="L66" s="12">
        <f t="shared" ref="L66:L101" si="1">M66/K66</f>
        <v>0.90108891208592612</v>
      </c>
      <c r="M66" s="11">
        <v>4309464.3000000007</v>
      </c>
    </row>
    <row r="67" spans="1:13" x14ac:dyDescent="0.35">
      <c r="A67" s="8">
        <v>44642</v>
      </c>
      <c r="B67">
        <v>2022</v>
      </c>
      <c r="C67" t="s">
        <v>17</v>
      </c>
      <c r="D67" t="s">
        <v>18</v>
      </c>
      <c r="E67" t="s">
        <v>15</v>
      </c>
      <c r="F67" t="s">
        <v>16</v>
      </c>
      <c r="G67" s="9">
        <v>72</v>
      </c>
      <c r="H67" s="10">
        <v>0.26</v>
      </c>
      <c r="I67" s="11">
        <v>37320</v>
      </c>
      <c r="J67" s="11">
        <v>32703</v>
      </c>
      <c r="K67" s="11">
        <v>1988409.6</v>
      </c>
      <c r="L67" s="12">
        <f t="shared" si="1"/>
        <v>-0.18417050491005479</v>
      </c>
      <c r="M67" s="11">
        <v>-366206.40000000008</v>
      </c>
    </row>
    <row r="68" spans="1:13" x14ac:dyDescent="0.35">
      <c r="A68" s="8">
        <v>45123</v>
      </c>
      <c r="B68">
        <v>2023</v>
      </c>
      <c r="C68" t="s">
        <v>35</v>
      </c>
      <c r="D68" t="s">
        <v>14</v>
      </c>
      <c r="E68" t="s">
        <v>27</v>
      </c>
      <c r="F68" t="s">
        <v>20</v>
      </c>
      <c r="G68" s="9">
        <v>28</v>
      </c>
      <c r="H68" s="10">
        <v>0.2</v>
      </c>
      <c r="I68" s="11">
        <v>43304</v>
      </c>
      <c r="J68" s="11">
        <v>12337</v>
      </c>
      <c r="K68" s="11">
        <v>970009.60000000009</v>
      </c>
      <c r="L68" s="12">
        <f t="shared" si="1"/>
        <v>0.64388393681876965</v>
      </c>
      <c r="M68" s="11">
        <v>624573.60000000009</v>
      </c>
    </row>
    <row r="69" spans="1:13" x14ac:dyDescent="0.35">
      <c r="A69" s="8">
        <v>44949</v>
      </c>
      <c r="B69">
        <v>2023</v>
      </c>
      <c r="C69" t="s">
        <v>26</v>
      </c>
      <c r="D69" t="s">
        <v>14</v>
      </c>
      <c r="E69" t="s">
        <v>27</v>
      </c>
      <c r="F69" t="s">
        <v>16</v>
      </c>
      <c r="G69" s="9">
        <v>101</v>
      </c>
      <c r="H69" s="10">
        <v>0.03</v>
      </c>
      <c r="I69" s="11">
        <v>51247</v>
      </c>
      <c r="J69" s="11">
        <v>39487</v>
      </c>
      <c r="K69" s="11">
        <v>5020668.59</v>
      </c>
      <c r="L69" s="12">
        <f t="shared" si="1"/>
        <v>0.20564623445898467</v>
      </c>
      <c r="M69" s="11">
        <v>1032481.59</v>
      </c>
    </row>
    <row r="70" spans="1:13" x14ac:dyDescent="0.35">
      <c r="A70" s="8">
        <v>44563</v>
      </c>
      <c r="B70">
        <v>2022</v>
      </c>
      <c r="C70" t="s">
        <v>26</v>
      </c>
      <c r="D70" t="s">
        <v>32</v>
      </c>
      <c r="E70" t="s">
        <v>19</v>
      </c>
      <c r="F70" t="s">
        <v>20</v>
      </c>
      <c r="G70" s="9">
        <v>67</v>
      </c>
      <c r="H70" s="10">
        <v>0.2</v>
      </c>
      <c r="I70" s="11">
        <v>8913</v>
      </c>
      <c r="J70" s="11">
        <v>22129</v>
      </c>
      <c r="K70" s="11">
        <v>477736.8</v>
      </c>
      <c r="L70" s="12">
        <f t="shared" si="1"/>
        <v>-2.1034724559631996</v>
      </c>
      <c r="M70" s="11">
        <v>-1004906.2</v>
      </c>
    </row>
    <row r="71" spans="1:13" x14ac:dyDescent="0.35">
      <c r="A71" s="8">
        <v>44951</v>
      </c>
      <c r="B71">
        <v>2023</v>
      </c>
      <c r="C71" t="s">
        <v>26</v>
      </c>
      <c r="D71" t="s">
        <v>18</v>
      </c>
      <c r="E71" t="s">
        <v>19</v>
      </c>
      <c r="F71" t="s">
        <v>20</v>
      </c>
      <c r="G71" s="9">
        <v>192</v>
      </c>
      <c r="H71" s="10">
        <v>0.22</v>
      </c>
      <c r="I71" s="11">
        <v>22450</v>
      </c>
      <c r="J71" s="11">
        <v>34921</v>
      </c>
      <c r="K71" s="11">
        <v>3362112</v>
      </c>
      <c r="L71" s="12">
        <f t="shared" si="1"/>
        <v>-0.99423219690480269</v>
      </c>
      <c r="M71" s="11">
        <v>-3342720</v>
      </c>
    </row>
    <row r="72" spans="1:13" x14ac:dyDescent="0.35">
      <c r="A72" s="8">
        <v>45127</v>
      </c>
      <c r="B72">
        <v>2023</v>
      </c>
      <c r="C72" t="s">
        <v>35</v>
      </c>
      <c r="D72" t="s">
        <v>25</v>
      </c>
      <c r="E72" t="s">
        <v>22</v>
      </c>
      <c r="F72" t="s">
        <v>16</v>
      </c>
      <c r="G72" s="9">
        <v>99</v>
      </c>
      <c r="H72" s="10">
        <v>0.15</v>
      </c>
      <c r="I72" s="11">
        <v>29107</v>
      </c>
      <c r="J72" s="11">
        <v>36307</v>
      </c>
      <c r="K72" s="11">
        <v>2449354.0499999998</v>
      </c>
      <c r="L72" s="12">
        <f t="shared" si="1"/>
        <v>-0.46748609087363258</v>
      </c>
      <c r="M72" s="11">
        <v>-1145038.95</v>
      </c>
    </row>
    <row r="73" spans="1:13" x14ac:dyDescent="0.35">
      <c r="A73" s="8">
        <v>44667</v>
      </c>
      <c r="B73">
        <v>2022</v>
      </c>
      <c r="C73" t="s">
        <v>13</v>
      </c>
      <c r="D73" t="s">
        <v>25</v>
      </c>
      <c r="E73" t="s">
        <v>22</v>
      </c>
      <c r="F73" t="s">
        <v>20</v>
      </c>
      <c r="G73" s="9">
        <v>126</v>
      </c>
      <c r="H73" s="10">
        <v>0.24</v>
      </c>
      <c r="I73" s="11">
        <v>25764</v>
      </c>
      <c r="J73" s="11">
        <v>30355</v>
      </c>
      <c r="K73" s="11">
        <v>2467160.64</v>
      </c>
      <c r="L73" s="12">
        <f t="shared" si="1"/>
        <v>-0.550255762835127</v>
      </c>
      <c r="M73" s="11">
        <v>-1357569.36</v>
      </c>
    </row>
    <row r="74" spans="1:13" x14ac:dyDescent="0.35">
      <c r="A74" s="8">
        <v>45038</v>
      </c>
      <c r="B74">
        <v>2023</v>
      </c>
      <c r="C74" t="s">
        <v>13</v>
      </c>
      <c r="D74" t="s">
        <v>18</v>
      </c>
      <c r="E74" t="s">
        <v>15</v>
      </c>
      <c r="F74" t="s">
        <v>16</v>
      </c>
      <c r="G74" s="9">
        <v>71</v>
      </c>
      <c r="H74" s="10">
        <v>0.06</v>
      </c>
      <c r="I74" s="11">
        <v>48404</v>
      </c>
      <c r="J74" s="11">
        <v>7835</v>
      </c>
      <c r="K74" s="11">
        <v>3230482.96</v>
      </c>
      <c r="L74" s="12">
        <f t="shared" si="1"/>
        <v>0.82780128950130727</v>
      </c>
      <c r="M74" s="11">
        <v>2674197.96</v>
      </c>
    </row>
    <row r="75" spans="1:13" x14ac:dyDescent="0.35">
      <c r="A75" s="8">
        <v>45264</v>
      </c>
      <c r="B75">
        <v>2023</v>
      </c>
      <c r="C75" t="s">
        <v>24</v>
      </c>
      <c r="D75" t="s">
        <v>25</v>
      </c>
      <c r="E75" t="s">
        <v>22</v>
      </c>
      <c r="F75" t="s">
        <v>23</v>
      </c>
      <c r="G75" s="9">
        <v>32</v>
      </c>
      <c r="H75" s="10">
        <v>0.12</v>
      </c>
      <c r="I75" s="11">
        <v>25491</v>
      </c>
      <c r="J75" s="11">
        <v>23159</v>
      </c>
      <c r="K75" s="11">
        <v>717826.56000000006</v>
      </c>
      <c r="L75" s="12">
        <f t="shared" si="1"/>
        <v>-3.2405376585675431E-2</v>
      </c>
      <c r="M75" s="11">
        <v>-23261.43999999994</v>
      </c>
    </row>
    <row r="76" spans="1:13" x14ac:dyDescent="0.35">
      <c r="A76" s="8">
        <v>44963</v>
      </c>
      <c r="B76">
        <v>2023</v>
      </c>
      <c r="C76" t="s">
        <v>34</v>
      </c>
      <c r="D76" t="s">
        <v>25</v>
      </c>
      <c r="E76" t="s">
        <v>27</v>
      </c>
      <c r="F76" t="s">
        <v>20</v>
      </c>
      <c r="G76" s="9">
        <v>136</v>
      </c>
      <c r="H76" s="10">
        <v>0.2</v>
      </c>
      <c r="I76" s="11">
        <v>43494</v>
      </c>
      <c r="J76" s="11">
        <v>16216</v>
      </c>
      <c r="K76" s="11">
        <v>4732147.2</v>
      </c>
      <c r="L76" s="12">
        <f t="shared" si="1"/>
        <v>0.53395870694808478</v>
      </c>
      <c r="M76" s="11">
        <v>2526771.2000000002</v>
      </c>
    </row>
    <row r="77" spans="1:13" x14ac:dyDescent="0.35">
      <c r="A77" s="8">
        <v>45291</v>
      </c>
      <c r="B77">
        <v>2023</v>
      </c>
      <c r="C77" t="s">
        <v>24</v>
      </c>
      <c r="D77" t="s">
        <v>18</v>
      </c>
      <c r="E77" t="s">
        <v>19</v>
      </c>
      <c r="F77" t="s">
        <v>23</v>
      </c>
      <c r="G77" s="9">
        <v>146</v>
      </c>
      <c r="H77" s="10">
        <v>0.09</v>
      </c>
      <c r="I77" s="11">
        <v>8373</v>
      </c>
      <c r="J77" s="11">
        <v>38547</v>
      </c>
      <c r="K77" s="11">
        <v>1112436.78</v>
      </c>
      <c r="L77" s="12">
        <f t="shared" si="1"/>
        <v>-4.0590398494375561</v>
      </c>
      <c r="M77" s="11">
        <v>-4515425.22</v>
      </c>
    </row>
    <row r="78" spans="1:13" x14ac:dyDescent="0.35">
      <c r="A78" s="8">
        <v>45117</v>
      </c>
      <c r="B78">
        <v>2023</v>
      </c>
      <c r="C78" t="s">
        <v>35</v>
      </c>
      <c r="D78" t="s">
        <v>14</v>
      </c>
      <c r="E78" t="s">
        <v>22</v>
      </c>
      <c r="F78" t="s">
        <v>16</v>
      </c>
      <c r="G78" s="9">
        <v>149</v>
      </c>
      <c r="H78" s="10">
        <v>0.25</v>
      </c>
      <c r="I78" s="11">
        <v>17161</v>
      </c>
      <c r="J78" s="11">
        <v>34471</v>
      </c>
      <c r="K78" s="11">
        <v>1917741.75</v>
      </c>
      <c r="L78" s="12">
        <f t="shared" si="1"/>
        <v>-1.6782433036147855</v>
      </c>
      <c r="M78" s="11">
        <v>-3218437.25</v>
      </c>
    </row>
    <row r="79" spans="1:13" x14ac:dyDescent="0.35">
      <c r="A79" s="8">
        <v>44723</v>
      </c>
      <c r="B79">
        <v>2022</v>
      </c>
      <c r="C79" t="s">
        <v>36</v>
      </c>
      <c r="D79" t="s">
        <v>18</v>
      </c>
      <c r="E79" t="s">
        <v>22</v>
      </c>
      <c r="F79" t="s">
        <v>23</v>
      </c>
      <c r="G79" s="9">
        <v>138</v>
      </c>
      <c r="H79" s="10">
        <v>0.06</v>
      </c>
      <c r="I79" s="11">
        <v>36996</v>
      </c>
      <c r="J79" s="11">
        <v>20308</v>
      </c>
      <c r="K79" s="11">
        <v>4799121.12</v>
      </c>
      <c r="L79" s="12">
        <f t="shared" si="1"/>
        <v>0.41603807657182029</v>
      </c>
      <c r="M79" s="11">
        <v>1996617.12</v>
      </c>
    </row>
    <row r="80" spans="1:13" x14ac:dyDescent="0.35">
      <c r="A80" s="8">
        <v>44763</v>
      </c>
      <c r="B80">
        <v>2022</v>
      </c>
      <c r="C80" t="s">
        <v>35</v>
      </c>
      <c r="D80" t="s">
        <v>14</v>
      </c>
      <c r="E80" t="s">
        <v>15</v>
      </c>
      <c r="F80" t="s">
        <v>23</v>
      </c>
      <c r="G80" s="9">
        <v>67</v>
      </c>
      <c r="H80" s="10">
        <v>0.13</v>
      </c>
      <c r="I80" s="11">
        <v>32122</v>
      </c>
      <c r="J80" s="11">
        <v>30532</v>
      </c>
      <c r="K80" s="11">
        <v>1872391.38</v>
      </c>
      <c r="L80" s="12">
        <f t="shared" si="1"/>
        <v>-9.253013117375071E-2</v>
      </c>
      <c r="M80" s="11">
        <v>-173252.62000000011</v>
      </c>
    </row>
    <row r="81" spans="1:13" x14ac:dyDescent="0.35">
      <c r="A81" s="8">
        <v>44831</v>
      </c>
      <c r="B81">
        <v>2022</v>
      </c>
      <c r="C81" t="s">
        <v>21</v>
      </c>
      <c r="D81" t="s">
        <v>25</v>
      </c>
      <c r="E81" t="s">
        <v>15</v>
      </c>
      <c r="F81" t="s">
        <v>16</v>
      </c>
      <c r="G81" s="9">
        <v>131</v>
      </c>
      <c r="H81" s="10">
        <v>0.25</v>
      </c>
      <c r="I81" s="11">
        <v>63097</v>
      </c>
      <c r="J81" s="11">
        <v>37349</v>
      </c>
      <c r="K81" s="11">
        <v>6199280.25</v>
      </c>
      <c r="L81" s="12">
        <f t="shared" si="1"/>
        <v>0.21076015235800963</v>
      </c>
      <c r="M81" s="11">
        <v>1306561.25</v>
      </c>
    </row>
    <row r="82" spans="1:13" x14ac:dyDescent="0.35">
      <c r="A82" s="8">
        <v>44832</v>
      </c>
      <c r="B82">
        <v>2022</v>
      </c>
      <c r="C82" t="s">
        <v>21</v>
      </c>
      <c r="D82" t="s">
        <v>25</v>
      </c>
      <c r="E82" t="s">
        <v>27</v>
      </c>
      <c r="F82" t="s">
        <v>23</v>
      </c>
      <c r="G82" s="9">
        <v>10</v>
      </c>
      <c r="H82" s="10">
        <v>0.04</v>
      </c>
      <c r="I82" s="11">
        <v>39850</v>
      </c>
      <c r="J82" s="11">
        <v>8713</v>
      </c>
      <c r="K82" s="11">
        <v>382560</v>
      </c>
      <c r="L82" s="12">
        <f t="shared" si="1"/>
        <v>0.77224487662066077</v>
      </c>
      <c r="M82" s="11">
        <v>295430</v>
      </c>
    </row>
    <row r="83" spans="1:13" x14ac:dyDescent="0.35">
      <c r="A83" s="8">
        <v>45017</v>
      </c>
      <c r="B83">
        <v>2023</v>
      </c>
      <c r="C83" t="s">
        <v>13</v>
      </c>
      <c r="D83" t="s">
        <v>25</v>
      </c>
      <c r="E83" t="s">
        <v>19</v>
      </c>
      <c r="F83" t="s">
        <v>23</v>
      </c>
      <c r="G83" s="9">
        <v>43</v>
      </c>
      <c r="H83" s="10">
        <v>0.02</v>
      </c>
      <c r="I83" s="11">
        <v>32350</v>
      </c>
      <c r="J83" s="11">
        <v>7804</v>
      </c>
      <c r="K83" s="11">
        <v>1363229</v>
      </c>
      <c r="L83" s="12">
        <f t="shared" si="1"/>
        <v>0.75384033056808508</v>
      </c>
      <c r="M83" s="11">
        <v>1027657</v>
      </c>
    </row>
    <row r="84" spans="1:13" x14ac:dyDescent="0.35">
      <c r="A84" s="8">
        <v>45023</v>
      </c>
      <c r="B84">
        <v>2023</v>
      </c>
      <c r="C84" t="s">
        <v>13</v>
      </c>
      <c r="D84" t="s">
        <v>32</v>
      </c>
      <c r="E84" t="s">
        <v>15</v>
      </c>
      <c r="F84" t="s">
        <v>16</v>
      </c>
      <c r="G84" s="9">
        <v>105</v>
      </c>
      <c r="H84" s="10">
        <v>0.22</v>
      </c>
      <c r="I84" s="11">
        <v>32472</v>
      </c>
      <c r="J84" s="11">
        <v>13136</v>
      </c>
      <c r="K84" s="11">
        <v>2659456.7999999998</v>
      </c>
      <c r="L84" s="12">
        <f t="shared" si="1"/>
        <v>0.48136777405070091</v>
      </c>
      <c r="M84" s="11">
        <v>1280176.8</v>
      </c>
    </row>
    <row r="85" spans="1:13" x14ac:dyDescent="0.35">
      <c r="A85" s="8">
        <v>45288</v>
      </c>
      <c r="B85">
        <v>2023</v>
      </c>
      <c r="C85" t="s">
        <v>24</v>
      </c>
      <c r="D85" t="s">
        <v>14</v>
      </c>
      <c r="E85" t="s">
        <v>22</v>
      </c>
      <c r="F85" t="s">
        <v>23</v>
      </c>
      <c r="G85" s="9">
        <v>135</v>
      </c>
      <c r="H85" s="10">
        <v>0.28000000000000003</v>
      </c>
      <c r="I85" s="11">
        <v>33761</v>
      </c>
      <c r="J85" s="11">
        <v>3009</v>
      </c>
      <c r="K85" s="11">
        <v>3281569.2</v>
      </c>
      <c r="L85" s="12">
        <f t="shared" si="1"/>
        <v>0.87621318483852173</v>
      </c>
      <c r="M85" s="11">
        <v>2875354.2</v>
      </c>
    </row>
    <row r="86" spans="1:13" x14ac:dyDescent="0.35">
      <c r="A86" s="8">
        <v>44813</v>
      </c>
      <c r="B86">
        <v>2022</v>
      </c>
      <c r="C86" t="s">
        <v>21</v>
      </c>
      <c r="D86" t="s">
        <v>32</v>
      </c>
      <c r="E86" t="s">
        <v>19</v>
      </c>
      <c r="F86" t="s">
        <v>16</v>
      </c>
      <c r="G86" s="9">
        <v>127</v>
      </c>
      <c r="H86" s="10">
        <v>0.1</v>
      </c>
      <c r="I86" s="11">
        <v>30351</v>
      </c>
      <c r="J86" s="11">
        <v>22255</v>
      </c>
      <c r="K86" s="11">
        <v>3469119.3</v>
      </c>
      <c r="L86" s="12">
        <f t="shared" si="1"/>
        <v>0.18527304610135498</v>
      </c>
      <c r="M86" s="11">
        <v>642734.30000000028</v>
      </c>
    </row>
    <row r="87" spans="1:13" x14ac:dyDescent="0.35">
      <c r="A87" s="8">
        <v>45263</v>
      </c>
      <c r="B87">
        <v>2023</v>
      </c>
      <c r="C87" t="s">
        <v>24</v>
      </c>
      <c r="D87" t="s">
        <v>32</v>
      </c>
      <c r="E87" t="s">
        <v>19</v>
      </c>
      <c r="F87" t="s">
        <v>23</v>
      </c>
      <c r="G87" s="9">
        <v>57</v>
      </c>
      <c r="H87" s="10">
        <v>0.1</v>
      </c>
      <c r="I87" s="11">
        <v>28132</v>
      </c>
      <c r="J87" s="11">
        <v>26793</v>
      </c>
      <c r="K87" s="11">
        <v>1443171.6</v>
      </c>
      <c r="L87" s="12">
        <f t="shared" si="1"/>
        <v>-5.8225508317929692E-2</v>
      </c>
      <c r="M87" s="11">
        <v>-84029.399999999907</v>
      </c>
    </row>
    <row r="88" spans="1:13" x14ac:dyDescent="0.35">
      <c r="A88" s="8">
        <v>44857</v>
      </c>
      <c r="B88">
        <v>2022</v>
      </c>
      <c r="C88" t="s">
        <v>33</v>
      </c>
      <c r="D88" t="s">
        <v>18</v>
      </c>
      <c r="E88" t="s">
        <v>22</v>
      </c>
      <c r="F88" t="s">
        <v>16</v>
      </c>
      <c r="G88" s="9">
        <v>98</v>
      </c>
      <c r="H88" s="10">
        <v>0.17</v>
      </c>
      <c r="I88" s="11">
        <v>54049</v>
      </c>
      <c r="J88" s="11">
        <v>32548</v>
      </c>
      <c r="K88" s="11">
        <v>4396345.66</v>
      </c>
      <c r="L88" s="12">
        <f t="shared" si="1"/>
        <v>0.27446469256923711</v>
      </c>
      <c r="M88" s="11">
        <v>1206641.6599999999</v>
      </c>
    </row>
    <row r="89" spans="1:13" x14ac:dyDescent="0.35">
      <c r="A89" s="8">
        <v>45286</v>
      </c>
      <c r="B89">
        <v>2023</v>
      </c>
      <c r="C89" t="s">
        <v>24</v>
      </c>
      <c r="D89" t="s">
        <v>32</v>
      </c>
      <c r="E89" t="s">
        <v>15</v>
      </c>
      <c r="F89" t="s">
        <v>16</v>
      </c>
      <c r="G89" s="9">
        <v>126</v>
      </c>
      <c r="H89" s="10">
        <v>0.14000000000000001</v>
      </c>
      <c r="I89" s="11">
        <v>20305</v>
      </c>
      <c r="J89" s="11">
        <v>4015</v>
      </c>
      <c r="K89" s="11">
        <v>2200249.7999999998</v>
      </c>
      <c r="L89" s="12">
        <f t="shared" si="1"/>
        <v>0.7700761068129629</v>
      </c>
      <c r="M89" s="11">
        <v>1694359.8</v>
      </c>
    </row>
    <row r="90" spans="1:13" x14ac:dyDescent="0.35">
      <c r="A90" s="8">
        <v>45281</v>
      </c>
      <c r="B90">
        <v>2023</v>
      </c>
      <c r="C90" t="s">
        <v>24</v>
      </c>
      <c r="D90" t="s">
        <v>18</v>
      </c>
      <c r="E90" t="s">
        <v>22</v>
      </c>
      <c r="F90" t="s">
        <v>23</v>
      </c>
      <c r="G90" s="9">
        <v>138</v>
      </c>
      <c r="H90" s="10">
        <v>0.11</v>
      </c>
      <c r="I90" s="11">
        <v>14817</v>
      </c>
      <c r="J90" s="11">
        <v>30712</v>
      </c>
      <c r="K90" s="11">
        <v>1819823.94</v>
      </c>
      <c r="L90" s="12">
        <f t="shared" si="1"/>
        <v>-1.3289373806127642</v>
      </c>
      <c r="M90" s="11">
        <v>-2418432.06</v>
      </c>
    </row>
    <row r="91" spans="1:13" x14ac:dyDescent="0.35">
      <c r="A91" s="8">
        <v>44899</v>
      </c>
      <c r="B91">
        <v>2022</v>
      </c>
      <c r="C91" t="s">
        <v>24</v>
      </c>
      <c r="D91" t="s">
        <v>18</v>
      </c>
      <c r="E91" t="s">
        <v>19</v>
      </c>
      <c r="F91" t="s">
        <v>23</v>
      </c>
      <c r="G91" s="9">
        <v>25</v>
      </c>
      <c r="H91" s="10">
        <v>0.08</v>
      </c>
      <c r="I91" s="11">
        <v>16261</v>
      </c>
      <c r="J91" s="11">
        <v>37961</v>
      </c>
      <c r="K91" s="11">
        <v>374003</v>
      </c>
      <c r="L91" s="12">
        <f t="shared" si="1"/>
        <v>-1.5374796458851934</v>
      </c>
      <c r="M91" s="11">
        <v>-575022</v>
      </c>
    </row>
    <row r="92" spans="1:13" x14ac:dyDescent="0.35">
      <c r="A92" s="8">
        <v>44614</v>
      </c>
      <c r="B92">
        <v>2022</v>
      </c>
      <c r="C92" t="s">
        <v>34</v>
      </c>
      <c r="D92" t="s">
        <v>32</v>
      </c>
      <c r="E92" t="s">
        <v>29</v>
      </c>
      <c r="F92" t="s">
        <v>23</v>
      </c>
      <c r="G92" s="9">
        <v>198</v>
      </c>
      <c r="H92" s="10">
        <v>0.09</v>
      </c>
      <c r="I92" s="11">
        <v>5417</v>
      </c>
      <c r="J92" s="11">
        <v>11415</v>
      </c>
      <c r="K92" s="11">
        <v>976035.06</v>
      </c>
      <c r="L92" s="12">
        <f t="shared" si="1"/>
        <v>-1.3156647672062107</v>
      </c>
      <c r="M92" s="11">
        <v>-1284134.94</v>
      </c>
    </row>
    <row r="93" spans="1:13" x14ac:dyDescent="0.35">
      <c r="A93" s="8">
        <v>44778</v>
      </c>
      <c r="B93">
        <v>2022</v>
      </c>
      <c r="C93" t="s">
        <v>30</v>
      </c>
      <c r="D93" t="s">
        <v>14</v>
      </c>
      <c r="E93" t="s">
        <v>29</v>
      </c>
      <c r="F93" t="s">
        <v>20</v>
      </c>
      <c r="G93" s="9">
        <v>78</v>
      </c>
      <c r="H93" s="10">
        <v>0.25</v>
      </c>
      <c r="I93" s="11">
        <v>62458</v>
      </c>
      <c r="J93" s="11">
        <v>26833</v>
      </c>
      <c r="K93" s="11">
        <v>3653793</v>
      </c>
      <c r="L93" s="12">
        <f t="shared" si="1"/>
        <v>0.42717773010129473</v>
      </c>
      <c r="M93" s="11">
        <v>1560819</v>
      </c>
    </row>
    <row r="94" spans="1:13" x14ac:dyDescent="0.35">
      <c r="A94" s="8">
        <v>44749</v>
      </c>
      <c r="B94">
        <v>2022</v>
      </c>
      <c r="C94" t="s">
        <v>35</v>
      </c>
      <c r="D94" t="s">
        <v>14</v>
      </c>
      <c r="E94" t="s">
        <v>27</v>
      </c>
      <c r="F94" t="s">
        <v>20</v>
      </c>
      <c r="G94" s="9">
        <v>31</v>
      </c>
      <c r="H94" s="10">
        <v>0.11</v>
      </c>
      <c r="I94" s="11">
        <v>46576</v>
      </c>
      <c r="J94" s="11">
        <v>7158</v>
      </c>
      <c r="K94" s="11">
        <v>1285031.8400000001</v>
      </c>
      <c r="L94" s="12">
        <f t="shared" si="1"/>
        <v>0.82732101019380189</v>
      </c>
      <c r="M94" s="11">
        <v>1063133.8400000001</v>
      </c>
    </row>
    <row r="95" spans="1:13" x14ac:dyDescent="0.35">
      <c r="A95" s="8">
        <v>44941</v>
      </c>
      <c r="B95">
        <v>2023</v>
      </c>
      <c r="C95" t="s">
        <v>26</v>
      </c>
      <c r="D95" t="s">
        <v>14</v>
      </c>
      <c r="E95" t="s">
        <v>22</v>
      </c>
      <c r="F95" t="s">
        <v>20</v>
      </c>
      <c r="G95" s="9">
        <v>102</v>
      </c>
      <c r="H95" s="10">
        <v>0.16</v>
      </c>
      <c r="I95" s="11">
        <v>25358</v>
      </c>
      <c r="J95" s="11">
        <v>23309</v>
      </c>
      <c r="K95" s="11">
        <v>2172673.44</v>
      </c>
      <c r="L95" s="12">
        <f t="shared" si="1"/>
        <v>-9.428225900345158E-2</v>
      </c>
      <c r="M95" s="11">
        <v>-204844.56000000011</v>
      </c>
    </row>
    <row r="96" spans="1:13" x14ac:dyDescent="0.35">
      <c r="A96" s="8">
        <v>45054</v>
      </c>
      <c r="B96">
        <v>2023</v>
      </c>
      <c r="C96" t="s">
        <v>28</v>
      </c>
      <c r="D96" t="s">
        <v>14</v>
      </c>
      <c r="E96" t="s">
        <v>22</v>
      </c>
      <c r="F96" t="s">
        <v>16</v>
      </c>
      <c r="G96" s="9">
        <v>85</v>
      </c>
      <c r="H96" s="10">
        <v>0.28000000000000003</v>
      </c>
      <c r="I96" s="11">
        <v>8267</v>
      </c>
      <c r="J96" s="11">
        <v>9970</v>
      </c>
      <c r="K96" s="11">
        <v>505940.4</v>
      </c>
      <c r="L96" s="12">
        <f t="shared" si="1"/>
        <v>-0.67499966399204325</v>
      </c>
      <c r="M96" s="11">
        <v>-341509.6</v>
      </c>
    </row>
    <row r="97" spans="1:13" x14ac:dyDescent="0.35">
      <c r="A97" s="8">
        <v>44602</v>
      </c>
      <c r="B97">
        <v>2022</v>
      </c>
      <c r="C97" t="s">
        <v>34</v>
      </c>
      <c r="D97" t="s">
        <v>14</v>
      </c>
      <c r="E97" t="s">
        <v>27</v>
      </c>
      <c r="F97" t="s">
        <v>23</v>
      </c>
      <c r="G97" s="9">
        <v>163</v>
      </c>
      <c r="H97" s="10">
        <v>0.05</v>
      </c>
      <c r="I97" s="11">
        <v>22209</v>
      </c>
      <c r="J97" s="11">
        <v>9938</v>
      </c>
      <c r="K97" s="11">
        <v>3439063.65</v>
      </c>
      <c r="L97" s="12">
        <f t="shared" si="1"/>
        <v>0.52897237013918019</v>
      </c>
      <c r="M97" s="11">
        <v>1819169.65</v>
      </c>
    </row>
    <row r="98" spans="1:13" x14ac:dyDescent="0.35">
      <c r="A98" s="8">
        <v>44718</v>
      </c>
      <c r="B98">
        <v>2022</v>
      </c>
      <c r="C98" t="s">
        <v>36</v>
      </c>
      <c r="D98" t="s">
        <v>32</v>
      </c>
      <c r="E98" t="s">
        <v>27</v>
      </c>
      <c r="F98" t="s">
        <v>16</v>
      </c>
      <c r="G98" s="9">
        <v>153</v>
      </c>
      <c r="H98" s="10">
        <v>0.06</v>
      </c>
      <c r="I98" s="11">
        <v>29052</v>
      </c>
      <c r="J98" s="11">
        <v>24168</v>
      </c>
      <c r="K98" s="11">
        <v>4178258.64</v>
      </c>
      <c r="L98" s="12">
        <f t="shared" si="1"/>
        <v>0.11501313858349366</v>
      </c>
      <c r="M98" s="11">
        <v>480554.63999999972</v>
      </c>
    </row>
    <row r="99" spans="1:13" x14ac:dyDescent="0.35">
      <c r="A99" s="8">
        <v>44576</v>
      </c>
      <c r="B99">
        <v>2022</v>
      </c>
      <c r="C99" t="s">
        <v>26</v>
      </c>
      <c r="D99" t="s">
        <v>32</v>
      </c>
      <c r="E99" t="s">
        <v>27</v>
      </c>
      <c r="F99" t="s">
        <v>20</v>
      </c>
      <c r="G99" s="9">
        <v>188</v>
      </c>
      <c r="H99" s="10">
        <v>0.13</v>
      </c>
      <c r="I99" s="11">
        <v>43513</v>
      </c>
      <c r="J99" s="11">
        <v>23384</v>
      </c>
      <c r="K99" s="11">
        <v>7116986.2800000003</v>
      </c>
      <c r="L99" s="12">
        <f t="shared" si="1"/>
        <v>0.38229584447084247</v>
      </c>
      <c r="M99" s="11">
        <v>2720794.28</v>
      </c>
    </row>
    <row r="100" spans="1:13" x14ac:dyDescent="0.35">
      <c r="A100" s="8">
        <v>44626</v>
      </c>
      <c r="B100">
        <v>2022</v>
      </c>
      <c r="C100" t="s">
        <v>17</v>
      </c>
      <c r="D100" t="s">
        <v>25</v>
      </c>
      <c r="E100" t="s">
        <v>19</v>
      </c>
      <c r="F100" t="s">
        <v>23</v>
      </c>
      <c r="G100" s="9">
        <v>95</v>
      </c>
      <c r="H100" s="10">
        <v>0.12</v>
      </c>
      <c r="I100" s="11">
        <v>31092</v>
      </c>
      <c r="J100" s="11">
        <v>21017</v>
      </c>
      <c r="K100" s="11">
        <v>2599291.2000000002</v>
      </c>
      <c r="L100" s="12">
        <f t="shared" si="1"/>
        <v>0.23186174754102201</v>
      </c>
      <c r="M100" s="11">
        <v>602676.20000000019</v>
      </c>
    </row>
    <row r="101" spans="1:13" x14ac:dyDescent="0.35">
      <c r="A101" s="8">
        <v>45082</v>
      </c>
      <c r="B101">
        <v>2023</v>
      </c>
      <c r="C101" t="s">
        <v>36</v>
      </c>
      <c r="D101" t="s">
        <v>14</v>
      </c>
      <c r="E101" t="s">
        <v>22</v>
      </c>
      <c r="F101" t="s">
        <v>16</v>
      </c>
      <c r="G101" s="9">
        <v>194</v>
      </c>
      <c r="H101" s="10">
        <v>7.0000000000000007E-2</v>
      </c>
      <c r="I101" s="11">
        <v>16338</v>
      </c>
      <c r="J101" s="11">
        <v>13344</v>
      </c>
      <c r="K101" s="11">
        <v>2947701.96</v>
      </c>
      <c r="L101" s="12">
        <f t="shared" si="1"/>
        <v>0.12177824110820214</v>
      </c>
      <c r="M101" s="11">
        <v>358965.96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alluri dedeepya</dc:creator>
  <cp:lastModifiedBy>alluri dedeepya</cp:lastModifiedBy>
  <dcterms:created xsi:type="dcterms:W3CDTF">2025-11-03T08:12:42Z</dcterms:created>
  <dcterms:modified xsi:type="dcterms:W3CDTF">2025-11-03T08:14:10Z</dcterms:modified>
</cp:coreProperties>
</file>